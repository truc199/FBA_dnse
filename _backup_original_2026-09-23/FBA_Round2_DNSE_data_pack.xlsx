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2.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9.xml.rels" ContentType="application/vnd.openxmlformats-package.relationships+xml"/>
  <Override PartName="/xl/worksheets/_rels/sheet10.xml.rels" ContentType="application/vnd.openxmlformats-package.relationships+xml"/>
  <Override PartName="/xl/worksheets/_rels/sheet1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DNSE financials" sheetId="2" state="visible" r:id="rId4"/>
    <sheet name="Market share" sheetId="3" state="visible" r:id="rId5"/>
    <sheet name="Industry cross-section" sheetId="4" state="visible" r:id="rId6"/>
    <sheet name="DNSE position" sheetId="5" state="visible" r:id="rId7"/>
    <sheet name="Review analysis" sheetId="6" state="visible" r:id="rId8"/>
    <sheet name="Review quotes" sheetId="7" state="visible" r:id="rId9"/>
    <sheet name="Segment model" sheetId="8" state="visible" r:id="rId10"/>
    <sheet name="Segments 2024" sheetId="9" state="visible" r:id="rId11"/>
    <sheet name="Segment gaps" sheetId="10" state="visible" r:id="rId12"/>
    <sheet name="National 2024" sheetId="11" state="visible" r:id="rId13"/>
    <sheet name="Trends" sheetId="12" state="visible" r:id="rId14"/>
    <sheet name="Vietnam reference" sheetId="13" state="visible" r:id="rId15"/>
    <sheet name="Sources" sheetId="14" state="visible" r:id="rId16"/>
  </sheets>
  <definedNames>
    <definedName function="false" hidden="true" localSheetId="10" name="_xlnm._FilterDatabase" vbProcedure="false">'National 2024'!$A$4:$D$36</definedName>
    <definedName function="false" hidden="true" localSheetId="6" name="_xlnm._FilterDatabase" vbProcedure="false">'Review quotes'!$A$4:$F$54</definedName>
    <definedName function="false" hidden="true" localSheetId="9" name="_xlnm._FilterDatabase" vbProcedure="false">'Segment gaps'!$A$4:$I$55</definedName>
    <definedName function="false" hidden="true" localSheetId="8" name="_xlnm._FilterDatabase" vbProcedure="false">'Segments 2024'!$A$4:$P$55</definedName>
    <definedName function="false" hidden="true" localSheetId="11" name="_xlnm._FilterDatabase" vbProcedure="false">Trends!$A$4:$I$30</definedName>
    <definedName function="false" hidden="true" localSheetId="12" name="_xlnm._FilterDatabase" vbProcedure="false">'Vietnam reference'!$A$4:$E$143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<sst xmlns="http://schemas.openxmlformats.org/spreadsheetml/2006/main" count="1884" uniqueCount="1127">
  <si>
    <t xml:space="preserve">FBA Season 6 Round 2 consolidated data pack: DNSE Securities</t>
  </si>
  <si>
    <t xml:space="preserve">Every dataset behind the DNSE report, in one file. Compiled 20 to 21 September 2026.</t>
  </si>
  <si>
    <t xml:space="preserve">What this is</t>
  </si>
  <si>
    <t xml:space="preserve">Five datasets in one workbook. DNSE company financials and market position, the Vietnamese securities industry cross-section, 868 cleaned Google Play reviews of DNSE and two competitors, the complete Global Findex record for Vietnam, and a macro reference sheet. Every computed cell is a formula, so editing an input updates everything downstream.</t>
  </si>
  <si>
    <t xml:space="preserve">Where the data came from</t>
  </si>
  <si>
    <t xml:space="preserve">Company data from DNSE quarterly financial statements and investor relations releases. Market share from the HOSE and HNX quarterly announcements of 7 July 2026. Industry lending and profit from Q2 2026 financial statements as compiled by Vietstock and Mekong Asean. Findex from the World Bank Open Data API, source 28, country VNM, endpoint api.worldbank.org/v2/sources/28/country/VNM/series/all/data?format=json, which returned 19,878 observations of which 3,022 are non-null. Reviews from the public Google Play listings for vn.com.encapital.arrow, vn.com.vpbs.smartone and com.fpts.eztrade.</t>
  </si>
  <si>
    <t xml:space="preserve">How to read the colours</t>
  </si>
  <si>
    <t xml:space="preserve">Blue figures are inputs taken directly from a source. Green figures are links to another sheet. Black figures are formulas computed in this workbook. Yellow fill marks an assumption you may want to change. Editing a blue or yellow cell updates every black cell that depends on it.</t>
  </si>
  <si>
    <t xml:space="preserve">The review data</t>
  </si>
  <si>
    <t xml:space="preserve">868 DNSE reviews, 1,200 VPS and 177 FPTS, collected 20 to 21 September 2026. The cleaning rule is written out in full on the 'Review analysis' sheet and was applied identically to all three applications, so the comparison is like for like. 235 DNSE reviews were removed as loan advertising, referral farming or duplicates.</t>
  </si>
  <si>
    <t xml:space="preserve">Survey waves covered</t>
  </si>
  <si>
    <t xml:space="preserve">2011, 2014, 2017, 2022 and 2024. Note the labelling: the round usually called Global Findex 2021 is filed under 2022 for Vietnam in the World Bank API, and Vietnam's 2021 slot is empty. This workbook uses the API's own year labels. The 2024 wave was published in the Global Findex 2025 release; fieldwork ran May to December 2024.</t>
  </si>
  <si>
    <t xml:space="preserve">Sample</t>
  </si>
  <si>
    <t xml:space="preserve">1,000 Vietnamese adults aged 15 and over, 199 variables in the underlying microdata file. All figures here are weighted population estimates, expressed as a percentage of adults aged 15+ unless the label says otherwise.</t>
  </si>
  <si>
    <t xml:space="preserve">The microdata</t>
  </si>
  <si>
    <t xml:space="preserve">This workbook holds published aggregates. The respondent-level file (1,000 rows, 199 columns) is a separate free download at microdata.worldbank.org/index.php/catalog/7998, reference VNM_2024_FINDEX_v02_M. Download that too if you want to do your own cross-tabulations.</t>
  </si>
  <si>
    <t xml:space="preserve">Why the segments matter</t>
  </si>
  <si>
    <t xml:space="preserve">Findex publishes every indicator broken down twelve ways: by sex, age band, education, income quintile group, urban or rural, and labour force status. That is a ready-made market segmentation. The 'Segments 2024' sheet is the core table.</t>
  </si>
  <si>
    <t xml:space="preserve">A caution on precision</t>
  </si>
  <si>
    <t xml:space="preserve">1,000 respondents split twelve ways leaves small cells. Treat differences of a few percentage points as noise and say so in your report. The large gaps, 30 points and more, are real.</t>
  </si>
  <si>
    <t xml:space="preserve">A caution on definitions</t>
  </si>
  <si>
    <t xml:space="preserve">Findex says 70.6% of Vietnamese adults aged 15+ had an account in 2024. The State Bank puts payment account penetration above 89% of people aged 15+ for H1 2026. The two are directly comparable in denominator and roughly 18 points apart. Both are defensible: one counts people who report having an account when surveyed, the other counts accounts on bank systems, which includes duplicates one person holds across banks. Findex separately finds only 2.1% of adults holding an inactive account, which does not close the gap. Do not mix them in one chart without saying which is which. Naming the discrepancy is worth marks under evidence transparency.</t>
  </si>
  <si>
    <t xml:space="preserve">Verification</t>
  </si>
  <si>
    <t xml:space="preserve">Every figure on the 'Vietnam reference' sheet was re-checked against primary or Vietnamese-language sources on 20 September 2026. Twelve claims changed on review, including the small-firm credit access ladder, the biometric verification count, bank asset sizes and the brokerage market share tables. Appendix C of the accompanying report lists each one.</t>
  </si>
  <si>
    <t xml:space="preserve">Licence</t>
  </si>
  <si>
    <t xml:space="preserve">World Bank Open Data, CC BY 4.0. Cite as: World Bank, Global Findex Database 2025. Reproducing it in a student report is fine; say where it came from.</t>
  </si>
  <si>
    <t xml:space="preserve">Sheets in this workbook</t>
  </si>
  <si>
    <t xml:space="preserve">DNSE financials</t>
  </si>
  <si>
    <t xml:space="preserve">Quarterly and half-year revenue, profit and balance-sheet lines with computed margins and revenue mix.</t>
  </si>
  <si>
    <t xml:space="preserve">Market share</t>
  </si>
  <si>
    <t xml:space="preserve">HOSE, HNX and derivatives brokerage share for every firm in the top ten, second quarter of 2026.</t>
  </si>
  <si>
    <t xml:space="preserve">Industry cross-section</t>
  </si>
  <si>
    <t xml:space="preserve">Lending balances and pre-tax profit for the largest securities firms, with shares of the industry total.</t>
  </si>
  <si>
    <t xml:space="preserve">DNSE position</t>
  </si>
  <si>
    <t xml:space="preserve">The five share measures that define the monetisation gap, each against its own denominator.</t>
  </si>
  <si>
    <t xml:space="preserve">Review analysis</t>
  </si>
  <si>
    <t xml:space="preserve">Cleaning log, ratings by year, complaint themes and the three-app comparison.</t>
  </si>
  <si>
    <t xml:space="preserve">Review quotes</t>
  </si>
  <si>
    <t xml:space="preserve">Fifty selected reviews with rating, date, helpfulness votes and theme tags.</t>
  </si>
  <si>
    <t xml:space="preserve">Segment model</t>
  </si>
  <si>
    <t xml:space="preserve">The derived priority segment. Every index cell is a formula reading from Segments 2024.</t>
  </si>
  <si>
    <t xml:space="preserve">Segments 2024</t>
  </si>
  <si>
    <t xml:space="preserve">51 Findex indicators by all twelve Findex segments, latest wave.</t>
  </si>
  <si>
    <t xml:space="preserve">Segment gaps</t>
  </si>
  <si>
    <t xml:space="preserve">Computed gaps between rich and poor, urban and rural, and by education.</t>
  </si>
  <si>
    <t xml:space="preserve">National 2024</t>
  </si>
  <si>
    <t xml:space="preserve">Indicators the World Bank publishes only at national level for 2024.</t>
  </si>
  <si>
    <t xml:space="preserve">Trends</t>
  </si>
  <si>
    <t xml:space="preserve">Headline indicators across all five survey waves, 2011 to 2024.</t>
  </si>
  <si>
    <t xml:space="preserve">Vietnam reference</t>
  </si>
  <si>
    <t xml:space="preserve">Macro, banking, payments and capital-markets figures with sources and periods.</t>
  </si>
  <si>
    <t xml:space="preserve">Sources</t>
  </si>
  <si>
    <t xml:space="preserve">Where to get everything else, with links.</t>
  </si>
  <si>
    <t xml:space="preserve">Findex segment codes</t>
  </si>
  <si>
    <t xml:space="preserve">Indicator ids ending .1 to .12 are segment cuts of the base indicator: .1 women, .2 men, .3 age 15-24, .4 age 25+, .5 primary education or less, .6 secondary or more, .7 poorest 40%, .8 richest 60%, .9 rural, .10 urban, .11 out of the labour force, .12 in the labour force. A suffix of .s means the figure is a share of a sub-population rather than of all adults.</t>
  </si>
  <si>
    <t xml:space="preserve">DNSE Securities: reported financials</t>
  </si>
  <si>
    <t xml:space="preserve">VND billion unless stated. Blue cells are figures taken directly from DNSE disclosures. Black cells are formulas. Source: DNSE quarterly financial statements and investor relations releases.</t>
  </si>
  <si>
    <t xml:space="preserve">Line</t>
  </si>
  <si>
    <t xml:space="preserve">FY2025</t>
  </si>
  <si>
    <t xml:space="preserve">Q1 2026</t>
  </si>
  <si>
    <t xml:space="preserve">Q2 2026</t>
  </si>
  <si>
    <t xml:space="preserve">H1 2026</t>
  </si>
  <si>
    <t xml:space="preserve">H1 as % of FY2025</t>
  </si>
  <si>
    <t xml:space="preserve">Note</t>
  </si>
  <si>
    <t xml:space="preserve">Operating revenue</t>
  </si>
  <si>
    <t xml:space="preserve">Half-year revenue of 848.2 reconciles with the two quarterly figures to within rounding.</t>
  </si>
  <si>
    <t xml:space="preserve">Interest on lending and receivables</t>
  </si>
  <si>
    <t xml:space="preserve">Brokerage commissions</t>
  </si>
  <si>
    <t xml:space="preserve">Majority derivatives</t>
  </si>
  <si>
    <t xml:space="preserve">Investment income</t>
  </si>
  <si>
    <t xml:space="preserve">FVTPL and held to maturity</t>
  </si>
  <si>
    <t xml:space="preserve">Other revenue</t>
  </si>
  <si>
    <t xml:space="preserve">Residual of each column.</t>
  </si>
  <si>
    <t xml:space="preserve">Pre-tax profit</t>
  </si>
  <si>
    <t xml:space="preserve">Profit after tax</t>
  </si>
  <si>
    <t xml:space="preserve">Margin loans and advances, period end</t>
  </si>
  <si>
    <t xml:space="preserve">Balance, not a flow. H1 equals the Q2 closing balance. Q2 2026 is a record for the firm.</t>
  </si>
  <si>
    <t xml:space="preserve">Computed ratios</t>
  </si>
  <si>
    <t xml:space="preserve">Ratio</t>
  </si>
  <si>
    <t xml:space="preserve">Pre-tax profit margin, per cent</t>
  </si>
  <si>
    <t xml:space="preserve">Falls from 23.2 in 2025 to 13.3 at the 2026 half year</t>
  </si>
  <si>
    <t xml:space="preserve">Interest on lending and receivables, share of revenue</t>
  </si>
  <si>
    <t xml:space="preserve">Brokerage commissions, share of revenue</t>
  </si>
  <si>
    <t xml:space="preserve">Investment income, share of revenue</t>
  </si>
  <si>
    <t xml:space="preserve">Customers, plan and yield</t>
  </si>
  <si>
    <t xml:space="preserve">Item</t>
  </si>
  <si>
    <t xml:space="preserve">Value</t>
  </si>
  <si>
    <t xml:space="preserve">Unit</t>
  </si>
  <si>
    <t xml:space="preserve">Source or formula</t>
  </si>
  <si>
    <t xml:space="preserve">Customer accounts, end 2025</t>
  </si>
  <si>
    <t xml:space="preserve">accounts</t>
  </si>
  <si>
    <t xml:space="preserve">DNSE annual report 2025</t>
  </si>
  <si>
    <t xml:space="preserve">Customer accounts, Q1 2026</t>
  </si>
  <si>
    <t xml:space="preserve">Q1 2026 release</t>
  </si>
  <si>
    <t xml:space="preserve">Customer accounts, H1 2026</t>
  </si>
  <si>
    <t xml:space="preserve">H1 2026 release, stated as over 1.7 million</t>
  </si>
  <si>
    <t xml:space="preserve">Share of new accounts opened, 2025</t>
  </si>
  <si>
    <t xml:space="preserve">per cent</t>
  </si>
  <si>
    <t xml:space="preserve">Share of new accounts opened, Q1 2026</t>
  </si>
  <si>
    <t xml:space="preserve">Q1 2026 release, 142,000 accounts</t>
  </si>
  <si>
    <t xml:space="preserve">2026 revenue target</t>
  </si>
  <si>
    <t xml:space="preserve">VND bn</t>
  </si>
  <si>
    <t xml:space="preserve">2026 annual general meeting</t>
  </si>
  <si>
    <t xml:space="preserve">2026 pre-tax profit target</t>
  </si>
  <si>
    <t xml:space="preserve">Charter capital</t>
  </si>
  <si>
    <t xml:space="preserve">428.6 million shares</t>
  </si>
  <si>
    <t xml:space="preserve">Customer assets, end 2025</t>
  </si>
  <si>
    <t xml:space="preserve">DNSE annual report 2025, approximate</t>
  </si>
  <si>
    <t xml:space="preserve">Derived measures</t>
  </si>
  <si>
    <t xml:space="preserve">Measure</t>
  </si>
  <si>
    <t xml:space="preserve">Definition</t>
  </si>
  <si>
    <t xml:space="preserve">Revenue per account, H1 2026, VND thousand</t>
  </si>
  <si>
    <t xml:space="preserve">Half-year operating revenue divided by accounts</t>
  </si>
  <si>
    <t xml:space="preserve">Brokerage revenue per account, H1 2026, VND thousand</t>
  </si>
  <si>
    <t xml:space="preserve">Half-year brokerage commissions divided by accounts</t>
  </si>
  <si>
    <t xml:space="preserve">Customer assets per account, end 2025, VND million</t>
  </si>
  <si>
    <t xml:space="preserve">Approximate customer assets divided by accounts</t>
  </si>
  <si>
    <t xml:space="preserve">Implied annual yield on lending, per cent</t>
  </si>
  <si>
    <t xml:space="preserve">Half-year interest divided by the average of the Q1 and Q2 closing balances, annualised</t>
  </si>
  <si>
    <t xml:space="preserve">H1 revenue as a share of the 2026 target, per cent</t>
  </si>
  <si>
    <t xml:space="preserve">Half-year pace would be 50</t>
  </si>
  <si>
    <t xml:space="preserve">H1 profit as a share of the 2026 target, per cent</t>
  </si>
  <si>
    <t xml:space="preserve">Pre-tax profit still required in H2 2026, VND bn</t>
  </si>
  <si>
    <t xml:space="preserve">Target less the half-year result</t>
  </si>
  <si>
    <t xml:space="preserve">H2 requirement as a multiple of H1</t>
  </si>
  <si>
    <t xml:space="preserve">Brokerage market share, second quarter of 2026</t>
  </si>
  <si>
    <t xml:space="preserve">Each percentage is a share of traded value on the named market. Shares from different markets are not comparable with one another. Sources: HOSE and HNX quarterly announcements of 7 July 2026.</t>
  </si>
  <si>
    <t xml:space="preserve">Firm</t>
  </si>
  <si>
    <t xml:space="preserve">HOSE Q2 2026</t>
  </si>
  <si>
    <t xml:space="preserve">HOSE Q1 2026</t>
  </si>
  <si>
    <t xml:space="preserve">HOSE change, points</t>
  </si>
  <si>
    <t xml:space="preserve">HNX Q2 2026</t>
  </si>
  <si>
    <t xml:space="preserve">Derivatives Q2 2026</t>
  </si>
  <si>
    <t xml:space="preserve">VPS</t>
  </si>
  <si>
    <t xml:space="preserve">Leads every market but lost 2.71 points of HOSE share in one quarter</t>
  </si>
  <si>
    <t xml:space="preserve">SSI</t>
  </si>
  <si>
    <t xml:space="preserve">TCBS</t>
  </si>
  <si>
    <t xml:space="preserve">Largest lending book in the industry</t>
  </si>
  <si>
    <t xml:space="preserve">Vietcap</t>
  </si>
  <si>
    <t xml:space="preserve">HSC</t>
  </si>
  <si>
    <t xml:space="preserve">MBS</t>
  </si>
  <si>
    <t xml:space="preserve">VNDirect</t>
  </si>
  <si>
    <t xml:space="preserve">VPBankS</t>
  </si>
  <si>
    <t xml:space="preserve">Largest gainer of the quarter on both exchanges</t>
  </si>
  <si>
    <t xml:space="preserve">KIS Vietnam</t>
  </si>
  <si>
    <t xml:space="preserve">Mirae Asset Vietnam</t>
  </si>
  <si>
    <t xml:space="preserve">BSC</t>
  </si>
  <si>
    <t xml:space="preserve">outside top ten</t>
  </si>
  <si>
    <t xml:space="preserve">DNSE</t>
  </si>
  <si>
    <t xml:space="preserve">Second in derivatives, eighth on HNX, outside the top ten on HOSE</t>
  </si>
  <si>
    <t xml:space="preserve">VIX</t>
  </si>
  <si>
    <t xml:space="preserve">Sum of the firms listed above</t>
  </si>
  <si>
    <t xml:space="preserve">HOSE column should reconcile to the top-ten total of 65.19</t>
  </si>
  <si>
    <t xml:space="preserve">Published top ten total</t>
  </si>
  <si>
    <t xml:space="preserve">HNX and derivatives columns include only the firms whose figures were published</t>
  </si>
  <si>
    <t xml:space="preserve">DNSE derivatives brokerage share by quarter</t>
  </si>
  <si>
    <t xml:space="preserve">Quarter</t>
  </si>
  <si>
    <t xml:space="preserve">Share, per cent</t>
  </si>
  <si>
    <t xml:space="preserve">Change on previous, points</t>
  </si>
  <si>
    <t xml:space="preserve">Source</t>
  </si>
  <si>
    <t xml:space="preserve">Q1 2024</t>
  </si>
  <si>
    <t xml:space="preserve">HNX quarterly announcement</t>
  </si>
  <si>
    <t xml:space="preserve">Q1 2025</t>
  </si>
  <si>
    <t xml:space="preserve">Q2 2025</t>
  </si>
  <si>
    <t xml:space="preserve">Q3 2025</t>
  </si>
  <si>
    <t xml:space="preserve">Q4 2025</t>
  </si>
  <si>
    <t xml:space="preserve">Vietnamese securities industry, second quarter of 2026</t>
  </si>
  <si>
    <t xml:space="preserve">Lending balances and pre-tax profit from quarterly financial statements. Shares are formulas against the industry total in the assumption cell below.</t>
  </si>
  <si>
    <t xml:space="preserve">Lending balance, VND bn</t>
  </si>
  <si>
    <t xml:space="preserve">Share of industry, per cent</t>
  </si>
  <si>
    <t xml:space="preserve">Q2 2026 pre-tax profit, VND bn</t>
  </si>
  <si>
    <t xml:space="preserve">HOSE brokerage share, per cent</t>
  </si>
  <si>
    <t xml:space="preserve">Year on year +21%</t>
  </si>
  <si>
    <t xml:space="preserve">Year on year +32%</t>
  </si>
  <si>
    <t xml:space="preserve">Year on year about four times</t>
  </si>
  <si>
    <t xml:space="preserve">Year on year +57%</t>
  </si>
  <si>
    <t xml:space="preserve">Year on year +8.7%</t>
  </si>
  <si>
    <t xml:space="preserve">Year on year +127%</t>
  </si>
  <si>
    <t xml:space="preserve">Year on year -95%</t>
  </si>
  <si>
    <t xml:space="preserve">Firms listed above</t>
  </si>
  <si>
    <t xml:space="preserve">Industry total lending</t>
  </si>
  <si>
    <t xml:space="preserve">The 453,800 figure is total lending, which includes advances against sale proceeds. Press estimates of margin lending alone for the same date cluster around 445,000.</t>
  </si>
  <si>
    <t xml:space="preserve">Previous quarter industry total</t>
  </si>
  <si>
    <t xml:space="preserve">Quarterly growth in industry lending, per cent, reported as 7</t>
  </si>
  <si>
    <t xml:space="preserve">Where DNSE is large and where it is small</t>
  </si>
  <si>
    <t xml:space="preserve">Each row compares DNSE against its own denominator. The five denominators differ, so the rows measure position in five separate markets rather than five slices of one market.</t>
  </si>
  <si>
    <t xml:space="preserve">Market total</t>
  </si>
  <si>
    <t xml:space="preserve">DNSE share, per cent</t>
  </si>
  <si>
    <t xml:space="preserve">Customer accounts</t>
  </si>
  <si>
    <t xml:space="preserve">13.80 million domestic individual accounts plus 52,633 foreign accounts, end August 2026, VSDC</t>
  </si>
  <si>
    <t xml:space="preserve">Derivatives brokerage</t>
  </si>
  <si>
    <t xml:space="preserve">per cent of traded value</t>
  </si>
  <si>
    <t xml:space="preserve">HNX Q2 2026 announcement</t>
  </si>
  <si>
    <t xml:space="preserve">HNX listed-share brokerage</t>
  </si>
  <si>
    <t xml:space="preserve">HNX Q2 2026 announcement, rank 8 of 10</t>
  </si>
  <si>
    <t xml:space="preserve">HOSE listed-share brokerage</t>
  </si>
  <si>
    <t xml:space="preserve">Not in the top ten. Tenth place held 2.94 per cent, so DNSE is below that</t>
  </si>
  <si>
    <t xml:space="preserve">Lending balance</t>
  </si>
  <si>
    <t xml:space="preserve">Q2 2026 financial statements, industry total from Vietstock</t>
  </si>
  <si>
    <t xml:space="preserve">Q2 2026 pre-tax profit</t>
  </si>
  <si>
    <t xml:space="preserve">Sum of the firms on the Industry cross-section sheet</t>
  </si>
  <si>
    <t xml:space="preserve">The monetisation gap</t>
  </si>
  <si>
    <t xml:space="preserve">Reading</t>
  </si>
  <si>
    <t xml:space="preserve">HNX trading share divided by account share</t>
  </si>
  <si>
    <t xml:space="preserve">An average DNSE account trades at this fraction of the value of an average market account</t>
  </si>
  <si>
    <t xml:space="preserve">Lending share divided by account share</t>
  </si>
  <si>
    <t xml:space="preserve">An average DNSE account carries this fraction of the borrowing of an average market account</t>
  </si>
  <si>
    <t xml:space="preserve">Derivatives share divided by account share</t>
  </si>
  <si>
    <t xml:space="preserve">Above one, so the derivatives franchise runs ahead of the account base</t>
  </si>
  <si>
    <t xml:space="preserve">Google Play reviews: DNSE Entrade X and two competitors</t>
  </si>
  <si>
    <t xml:space="preserve">Collected 20 to 21 September 2026 from the public Google Play listings. The cleaning rule described below was applied identically to all three applications.</t>
  </si>
  <si>
    <t xml:space="preserve">Method</t>
  </si>
  <si>
    <t xml:space="preserve">Retrieval</t>
  </si>
  <si>
    <t xml:space="preserve">Google Play public review listing, paginated through the store's own continuation token. Fields captured: review id, author, star rating, text, timestamp, helpfulness votes. No authentication.</t>
  </si>
  <si>
    <t xml:space="preserve">Normalisation</t>
  </si>
  <si>
    <t xml:space="preserve">Every review text was converted to a comparable form before filtering: Unicode compatibility composition, then decomposition with combining marks removed, then lower case. The first step matters because much of the loan spam disguises itself with mathematical alphanumeric characters such as VayTotNhat, which plain keyword filters miss.</t>
  </si>
  <si>
    <t xml:space="preserve">Loan spam rule</t>
  </si>
  <si>
    <t xml:space="preserve">vay 9 | vaytotnhat | vay t?o?t nhat | ktien | vayhangdau | vay333 | vayfe | fbvay | c0m | .com | vay 0 % | vay von 0</t>
  </si>
  <si>
    <t xml:space="preserve">Referral spam rule</t>
  </si>
  <si>
    <t xml:space="preserve">ma (gioi thieu | gt | moi | dai ly) | nhap ma | ref(erral)? id | ma + five or more digits | six digits followed by nhan or ma</t>
  </si>
  <si>
    <t xml:space="preserve">Duplicate rule</t>
  </si>
  <si>
    <t xml:space="preserve">Identical alphanumeric-only normalised text. Second and later copies removed. Texts under four characters are exempt.</t>
  </si>
  <si>
    <t xml:space="preserve">Generic flag</t>
  </si>
  <si>
    <t xml:space="preserve">A retained review of four words or fewer carrying no theme, for example tot, hay, ok. Counted separately rather than removed, so that a year full of one-word praise cannot be read as satisfaction.</t>
  </si>
  <si>
    <t xml:space="preserve">Theme tags</t>
  </si>
  <si>
    <t xml:space="preserve">Non-exclusive keyword matches on the normalised text. A review may carry several themes or none.</t>
  </si>
  <si>
    <t xml:space="preserve">Known limitation</t>
  </si>
  <si>
    <t xml:space="preserve">App store reviews are self-selected and over-represent dissatisfied users. The peer comparison mitigates this partially, because the same bias applies to all three applications. The VPS sample is capped at 1,200 by pagination and is truncated toward recent reviews.</t>
  </si>
  <si>
    <t xml:space="preserve">Cleaning log</t>
  </si>
  <si>
    <t xml:space="preserve">Stage</t>
  </si>
  <si>
    <t xml:space="preserve">VPS SmartOne</t>
  </si>
  <si>
    <t xml:space="preserve">FPTS EzTrade</t>
  </si>
  <si>
    <t xml:space="preserve">Reviews retrieved</t>
  </si>
  <si>
    <t xml:space="preserve">Full available history except VPS, capped by pagination</t>
  </si>
  <si>
    <t xml:space="preserve">Loan advertising removed</t>
  </si>
  <si>
    <t xml:space="preserve">Referral farming removed</t>
  </si>
  <si>
    <t xml:space="preserve">Duplicates removed</t>
  </si>
  <si>
    <t xml:space="preserve">Reviews retained</t>
  </si>
  <si>
    <t xml:space="preserve">DNSE loses 27.1 per cent, VPS 7.0, FPTS 4.5</t>
  </si>
  <si>
    <t xml:space="preserve">Removed as a share of the pull, per cent</t>
  </si>
  <si>
    <t xml:space="preserve">Mean rating before cleaning</t>
  </si>
  <si>
    <t xml:space="preserve">Mean rating after cleaning</t>
  </si>
  <si>
    <t xml:space="preserve">Mean rating of removed material</t>
  </si>
  <si>
    <t xml:space="preserve">Cleaning lowers the DNSE mean because the spam removed is rated more favourably than the genuine reviews left behind</t>
  </si>
  <si>
    <t xml:space="preserve">DNSE ratings by year</t>
  </si>
  <si>
    <t xml:space="preserve">Year</t>
  </si>
  <si>
    <t xml:space="preserve">Retrieved</t>
  </si>
  <si>
    <t xml:space="preserve">Removed</t>
  </si>
  <si>
    <t xml:space="preserve">Removed, per cent</t>
  </si>
  <si>
    <t xml:space="preserve">Retained</t>
  </si>
  <si>
    <t xml:space="preserve">Mean, retained</t>
  </si>
  <si>
    <t xml:space="preserve">Generic, of retained</t>
  </si>
  <si>
    <t xml:space="preserve">2020</t>
  </si>
  <si>
    <t xml:space="preserve">2021</t>
  </si>
  <si>
    <t xml:space="preserve">2022</t>
  </si>
  <si>
    <t xml:space="preserve">2023</t>
  </si>
  <si>
    <t xml:space="preserve">2024</t>
  </si>
  <si>
    <t xml:space="preserve">2025</t>
  </si>
  <si>
    <t xml:space="preserve">2026</t>
  </si>
  <si>
    <t xml:space="preserve">Total</t>
  </si>
  <si>
    <t xml:space="preserve">DNSE substantive ratings by year</t>
  </si>
  <si>
    <t xml:space="preserve">Substantive reviews</t>
  </si>
  <si>
    <t xml:space="preserve">Mean rating</t>
  </si>
  <si>
    <t xml:space="preserve">Generic share of retained, per cent</t>
  </si>
  <si>
    <t xml:space="preserve">Highest mean of any year, and also the highest share of one-word reviews</t>
  </si>
  <si>
    <t xml:space="preserve">Substantive rating falls by 1.70 stars on a larger sample</t>
  </si>
  <si>
    <t xml:space="preserve">Complaint themes</t>
  </si>
  <si>
    <t xml:space="preserve">Theme</t>
  </si>
  <si>
    <t xml:space="preserve">One and two star</t>
  </si>
  <si>
    <t xml:space="preserve">Three star</t>
  </si>
  <si>
    <t xml:space="preserve">Four and five star</t>
  </si>
  <si>
    <t xml:space="preserve">All retained</t>
  </si>
  <si>
    <t xml:space="preserve">Share of negatives, per cent</t>
  </si>
  <si>
    <t xml:space="preserve">onboarding</t>
  </si>
  <si>
    <t xml:space="preserve">Account opening, eKYC, OTP, NFC identity capture</t>
  </si>
  <si>
    <t xml:space="preserve">stability</t>
  </si>
  <si>
    <t xml:space="preserve">App crashes, freezes, login failures, slow order routing</t>
  </si>
  <si>
    <t xml:space="preserve">money</t>
  </si>
  <si>
    <t xml:space="preserve">Deposits not credited, withdrawal delays, T+ settlement</t>
  </si>
  <si>
    <t xml:space="preserve">promo</t>
  </si>
  <si>
    <t xml:space="preserve">Sign-up bonus terms, advertised rewards not received</t>
  </si>
  <si>
    <t xml:space="preserve">fees</t>
  </si>
  <si>
    <t xml:space="preserve">Commission and charges differing from the advertised rate</t>
  </si>
  <si>
    <t xml:space="preserve">fraud</t>
  </si>
  <si>
    <t xml:space="preserve">Explicit accusation of deception or fake reviews</t>
  </si>
  <si>
    <t xml:space="preserve">closure</t>
  </si>
  <si>
    <t xml:space="preserve">Cannot close the account, closure fee</t>
  </si>
  <si>
    <t xml:space="preserve">yield</t>
  </si>
  <si>
    <t xml:space="preserve">Idle-cash auto-earning feature (tai khoan khong ngu)</t>
  </si>
  <si>
    <t xml:space="preserve">influencer</t>
  </si>
  <si>
    <t xml:space="preserve">Reached the app through a YouTube or social referral</t>
  </si>
  <si>
    <t xml:space="preserve">zalopay</t>
  </si>
  <si>
    <t xml:space="preserve">ZaloPay linkage and its transaction charge</t>
  </si>
  <si>
    <t xml:space="preserve">ui</t>
  </si>
  <si>
    <t xml:space="preserve">Interface, charts, layout, usability</t>
  </si>
  <si>
    <t xml:space="preserve">Reviews in each rating band</t>
  </si>
  <si>
    <t xml:space="preserve">Themes are not exclusive, so the theme rows above sum to more than the band totals</t>
  </si>
  <si>
    <t xml:space="preserve">Three-application comparison</t>
  </si>
  <si>
    <t xml:space="preserve">Application</t>
  </si>
  <si>
    <t xml:space="preserve">Mean 2025</t>
  </si>
  <si>
    <t xml:space="preserve">Mean 2026</t>
  </si>
  <si>
    <t xml:space="preserve">One star share, per cent</t>
  </si>
  <si>
    <t xml:space="preserve">DNSE Entrade X</t>
  </si>
  <si>
    <t xml:space="preserve">Selected DNSE reviews</t>
  </si>
  <si>
    <t xml:space="preserve">Fifty reviews chosen as the most upvoted within each complaint theme, plus the most upvoted substantive positive reviews. Text is Vietnamese as written, truncated to 150 characters.</t>
  </si>
  <si>
    <t xml:space="preserve">Review id</t>
  </si>
  <si>
    <t xml:space="preserve">Stars</t>
  </si>
  <si>
    <t xml:space="preserve">Date</t>
  </si>
  <si>
    <t xml:space="preserve">Helpful votes</t>
  </si>
  <si>
    <t xml:space="preserve">Themes</t>
  </si>
  <si>
    <t xml:space="preserve">Text</t>
  </si>
  <si>
    <t xml:space="preserve">cf18775a</t>
  </si>
  <si>
    <t xml:space="preserve">2025-05-24</t>
  </si>
  <si>
    <t xml:space="preserve">onboarding|closure</t>
  </si>
  <si>
    <t xml:space="preserve">Bị gài rồi, bạn nào muốn đăng kí thì phải biết 1 điều là k thể hủy đăng ký kể cả khi tài khoản chưa được duyệt cũng không hủy được, và cái đoạn chụp h</t>
  </si>
  <si>
    <t xml:space="preserve">e8fe4927</t>
  </si>
  <si>
    <t xml:space="preserve">2021-09-23</t>
  </si>
  <si>
    <t xml:space="preserve">23.09.2021 đk lúc 10h sáng chờ tới gần 13h chưa vào đc mà cứ thông báo phải đợi 1h xác thực. app này có vấn đề chắc lun, đụng tới tiền bạc mà cứ lề mề</t>
  </si>
  <si>
    <t xml:space="preserve">5efad1d8</t>
  </si>
  <si>
    <t xml:space="preserve">2025-07-12</t>
  </si>
  <si>
    <t xml:space="preserve">không quét dc nfc là sao. đăng kí mà khó thế.</t>
  </si>
  <si>
    <t xml:space="preserve">e752ae28</t>
  </si>
  <si>
    <t xml:space="preserve">2025-05-31</t>
  </si>
  <si>
    <t xml:space="preserve">có cái mã otp mà mãi dell gửi dc</t>
  </si>
  <si>
    <t xml:space="preserve">ec7cd283</t>
  </si>
  <si>
    <t xml:space="preserve">2025-04-17</t>
  </si>
  <si>
    <t xml:space="preserve">đăng ký xác thực 5 lần ko đc cứ bảo vì hình chụp bị mờ</t>
  </si>
  <si>
    <t xml:space="preserve">91029c97</t>
  </si>
  <si>
    <t xml:space="preserve">2025-06-02</t>
  </si>
  <si>
    <t xml:space="preserve">stability|money</t>
  </si>
  <si>
    <t xml:space="preserve">Khi nạp tiền không vào giờ giao dịch, dù tiền đã trừ ở tài khoản ngân hàng, nhưng tài khoản chứng khoán không nhận được. Liên hệ cả bộ phận CSKH thì p</t>
  </si>
  <si>
    <t xml:space="preserve">f95e155b</t>
  </si>
  <si>
    <t xml:space="preserve">2024-08-07</t>
  </si>
  <si>
    <t xml:space="preserve">Từ ngày 6 đến nay chart, thông tin đều bị đơ mà không có bất kỳ thông báo nào. Cái duy nhất còn hiển thị là phần tin tức. Liên quan đến tiền mà Ad chơi</t>
  </si>
  <si>
    <t xml:space="preserve">d7b0e147</t>
  </si>
  <si>
    <t xml:space="preserve">2025-04-08</t>
  </si>
  <si>
    <t xml:space="preserve">onboarding|stability</t>
  </si>
  <si>
    <t xml:space="preserve">mã otp bị lỗi</t>
  </si>
  <si>
    <t xml:space="preserve">4b62d195</t>
  </si>
  <si>
    <t xml:space="preserve">2021-08-22</t>
  </si>
  <si>
    <t xml:space="preserve">Điện thoại CMT nét như gì cứ bảo chùi camera, ko xác thực nổi đã thế còn lỗi liên tục, ko nên tải app này</t>
  </si>
  <si>
    <t xml:space="preserve">975c8060</t>
  </si>
  <si>
    <t xml:space="preserve">2025-07-25</t>
  </si>
  <si>
    <t xml:space="preserve">lỗi đăng nhập ko vào được thì mất tiền 100%</t>
  </si>
  <si>
    <t xml:space="preserve">564355fd</t>
  </si>
  <si>
    <t xml:space="preserve">2025-06-28</t>
  </si>
  <si>
    <t xml:space="preserve">money|promo|fraud</t>
  </si>
  <si>
    <t xml:space="preserve">lừa đảo thông tin sai sự thật không có vụ được 100k liền đâu phải nạp tiền vào tối thiểu 2tr mới được</t>
  </si>
  <si>
    <t xml:space="preserve">940c13ed</t>
  </si>
  <si>
    <t xml:space="preserve">2025-01-27</t>
  </si>
  <si>
    <t xml:space="preserve">Giam tiền nạp thì lẹ bán cổ phiếu ra tiền thì k cho rút muốn rút phải ứng tiền phí cực chát.</t>
  </si>
  <si>
    <t xml:space="preserve">0a2388c6</t>
  </si>
  <si>
    <t xml:space="preserve">2025-08-20</t>
  </si>
  <si>
    <t xml:space="preserve">cty khá ok chỉ có điều làm lâu lâu chuyển khoản vào mà hệ thống ngân hàng bị lỗi (chờ xử lý) khi ngân hàng xử lý xong tiền thì đã chuyển nhưng xử lý</t>
  </si>
  <si>
    <t xml:space="preserve">e74d3efa</t>
  </si>
  <si>
    <t xml:space="preserve">2024-08-25</t>
  </si>
  <si>
    <t xml:space="preserve">Chán thật đi uống nước muốn rút tiền mà cứ lỗi</t>
  </si>
  <si>
    <t xml:space="preserve">811c5661</t>
  </si>
  <si>
    <t xml:space="preserve">2025-06-09</t>
  </si>
  <si>
    <t xml:space="preserve">promo|fraud</t>
  </si>
  <si>
    <t xml:space="preserve">MN CHÚ Ý SCAM NHA KHÔNG NHẬN ĐƯỢC 100K MUỐN XOÁ TK PHẢI TRẢ NÓ 100K ĐỂ XOÁ NÓ LẤY CẮP THÔNG TIN AE CHÚ Ý</t>
  </si>
  <si>
    <t xml:space="preserve">0db61d25</t>
  </si>
  <si>
    <t xml:space="preserve">2025-06-07</t>
  </si>
  <si>
    <t xml:space="preserve">mọi người đừng để bị dụ nhận 100k nha, kh dc đâu</t>
  </si>
  <si>
    <t xml:space="preserve">0318e923</t>
  </si>
  <si>
    <t xml:space="preserve">2025-08-06</t>
  </si>
  <si>
    <t xml:space="preserve">quảng cáo sai sự thật. phải nạp vào trong app 2 triệu mới được 100k. không như quảng cáo là tải app được nhận 100k.</t>
  </si>
  <si>
    <t xml:space="preserve">276fb209</t>
  </si>
  <si>
    <t xml:space="preserve">scam không như quảng cáo</t>
  </si>
  <si>
    <t xml:space="preserve">f07f6887</t>
  </si>
  <si>
    <t xml:space="preserve">2025-06-24</t>
  </si>
  <si>
    <t xml:space="preserve">promo|fees</t>
  </si>
  <si>
    <t xml:space="preserve">Phí giao dịch cao, không như quảng cáo. Đánh giá 1* vì sự mập mờ này</t>
  </si>
  <si>
    <t xml:space="preserve">e6b00c91</t>
  </si>
  <si>
    <t xml:space="preserve">2025-05-19</t>
  </si>
  <si>
    <t xml:space="preserve">Thấy bảo miễn phí giao dịch mà vẫn mất phí đều đều hây</t>
  </si>
  <si>
    <t xml:space="preserve">92b7466a</t>
  </si>
  <si>
    <t xml:space="preserve">2022-09-05</t>
  </si>
  <si>
    <t xml:space="preserve">stability|fees</t>
  </si>
  <si>
    <t xml:space="preserve">phí rẻ nhưng hay lỗi hệ thống cần nâng cấp lên cho bằng các cty khác.</t>
  </si>
  <si>
    <t xml:space="preserve">ee1f33ca</t>
  </si>
  <si>
    <t xml:space="preserve">2025-03-24</t>
  </si>
  <si>
    <t xml:space="preserve">fees|fraud</t>
  </si>
  <si>
    <t xml:space="preserve">Công ty lừa đảo. Ghi phí 0.045%, nhưng nó tính 0.5%</t>
  </si>
  <si>
    <t xml:space="preserve">d63fde57</t>
  </si>
  <si>
    <t xml:space="preserve">2025-04-18</t>
  </si>
  <si>
    <t xml:space="preserve">như lừa đảo z</t>
  </si>
  <si>
    <t xml:space="preserve">023d90b3</t>
  </si>
  <si>
    <t xml:space="preserve">2025-06-08</t>
  </si>
  <si>
    <t xml:space="preserve">app này MN nên cẩn thận nó lừa đó vì chọn đăng nhập thì kh thể hủy đc với lại lượt đánh giá toàn là đánh giá ảo nên đừng tin</t>
  </si>
  <si>
    <t xml:space="preserve">ba551fd3</t>
  </si>
  <si>
    <t xml:space="preserve">2025-06-25</t>
  </si>
  <si>
    <t xml:space="preserve">Lưu ý nha anh em LỪA ĐẢO ĂN THÔNG TIN KHÁCH HÀNG. ĐÁNH GIÁ 5 SAO ĐỀU LÀ GIẢ</t>
  </si>
  <si>
    <t xml:space="preserve">9d0f25ad</t>
  </si>
  <si>
    <t xml:space="preserve">2024-04-28</t>
  </si>
  <si>
    <t xml:space="preserve">Tao muốn xóa hợp đồng vĩnh viễn</t>
  </si>
  <si>
    <t xml:space="preserve">2513906a</t>
  </si>
  <si>
    <t xml:space="preserve">2025-01-23</t>
  </si>
  <si>
    <t xml:space="preserve">promo|closure</t>
  </si>
  <si>
    <t xml:space="preserve">Này thì đóng tài khoản mất phí 100k. Lần đầu tiên t nghe có 1 ctck đóng tài khoản mất 100k. Mà giữ tk để cập nhật thông tin thì không được. Chốt 1 sao</t>
  </si>
  <si>
    <t xml:space="preserve">bf576f62</t>
  </si>
  <si>
    <t xml:space="preserve">2025-10-14</t>
  </si>
  <si>
    <t xml:space="preserve">ko bt dùng cũng ko cho xóa tài khoản tôi muốn xóa tài khoản</t>
  </si>
  <si>
    <t xml:space="preserve">0fa0a9f4</t>
  </si>
  <si>
    <t xml:space="preserve">2022-06-26</t>
  </si>
  <si>
    <t xml:space="preserve">Làm sao để xóa tài khoản ạ</t>
  </si>
  <si>
    <t xml:space="preserve">6e881a12</t>
  </si>
  <si>
    <t xml:space="preserve">2025-05-18</t>
  </si>
  <si>
    <t xml:space="preserve">vì thấy qc app này qua green tuber nên tải và cho 1 sao nè</t>
  </si>
  <si>
    <t xml:space="preserve">b2970aa5</t>
  </si>
  <si>
    <t xml:space="preserve">2021-08-24</t>
  </si>
  <si>
    <t xml:space="preserve">Không nhận được tiền đâu, và mấy thằng youtube cũng luôn thổi phồng lên.</t>
  </si>
  <si>
    <t xml:space="preserve">3217d538</t>
  </si>
  <si>
    <t xml:space="preserve">2025-04-04</t>
  </si>
  <si>
    <t xml:space="preserve">coi ytb quảng cáo hoài</t>
  </si>
  <si>
    <t xml:space="preserve">523d5f8f</t>
  </si>
  <si>
    <t xml:space="preserve">2025-04-30</t>
  </si>
  <si>
    <t xml:space="preserve">mấy app của Học Viện Bò và Gấu</t>
  </si>
  <si>
    <t xml:space="preserve">658a04b9</t>
  </si>
  <si>
    <t xml:space="preserve">2024-12-25</t>
  </si>
  <si>
    <t xml:space="preserve">promo|influencer</t>
  </si>
  <si>
    <t xml:space="preserve">lừa đảo tải đường link của học viện bò và gấu rồi mà ko được tặng 200k</t>
  </si>
  <si>
    <t xml:space="preserve">db32d5d4</t>
  </si>
  <si>
    <t xml:space="preserve">2025-08-24</t>
  </si>
  <si>
    <t xml:space="preserve">app có liên kết với zalopay để giao dịch, nhưng khi liên kết sẽ bị zalopay trừ 0,12% mỗi giao dịch mà liên kết này không thể gỡ được. điểm trừ quá lớn</t>
  </si>
  <si>
    <t xml:space="preserve">31147446</t>
  </si>
  <si>
    <t xml:space="preserve">2026-07-05</t>
  </si>
  <si>
    <t xml:space="preserve">stability|promo|fraud|zalopay</t>
  </si>
  <si>
    <t xml:space="preserve">Nền tảng thiếu minh bạch, hoạt động chậm, trung gian, phát sinh nhiều loại chi phí.</t>
  </si>
  <si>
    <t xml:space="preserve">d2094e6d</t>
  </si>
  <si>
    <t xml:space="preserve">2025-06-22</t>
  </si>
  <si>
    <t xml:space="preserve">onboarding|stability|fraud|ui</t>
  </si>
  <si>
    <t xml:space="preserve">phần yêu cầu xác minh quá rắc rối. Xác minh 3 lần không lỗi chân dung thì lỗi cccd</t>
  </si>
  <si>
    <t xml:space="preserve">042dbd9d</t>
  </si>
  <si>
    <t xml:space="preserve">2026-07-29</t>
  </si>
  <si>
    <t xml:space="preserve">app tệ. từ giao diện cho đến chức năng.</t>
  </si>
  <si>
    <t xml:space="preserve">248db681</t>
  </si>
  <si>
    <t xml:space="preserve">2026-05-15</t>
  </si>
  <si>
    <t xml:space="preserve">stability|yield|influencer|ui</t>
  </si>
  <si>
    <t xml:space="preserve">Ngoại trừ lâu lâu hay lỗi, thì thực ra tcx, vpx, ssi cũng lỗi bấy bá, thì thực sự app dnse là app ck tốt nhất ttck vn rồi. - phí thấp - tk không ngủ</t>
  </si>
  <si>
    <t xml:space="preserve">209c03a4</t>
  </si>
  <si>
    <t xml:space="preserve">2026-01-22</t>
  </si>
  <si>
    <t xml:space="preserve">tôi đang dùng về tiền không ngủ và sinh lời tự động quá linh hoạt tuyệt vời</t>
  </si>
  <si>
    <t xml:space="preserve">fa30782f</t>
  </si>
  <si>
    <t xml:space="preserve">2025-11-27</t>
  </si>
  <si>
    <t xml:space="preserve">App đặt lệnh dễ dàng nhanh chóng không phải dùng nhiều thao tác. Xem thông tin, tin tức rõ ràng, dễ nhìn</t>
  </si>
  <si>
    <t xml:space="preserve">4094bad4</t>
  </si>
  <si>
    <t xml:space="preserve">2025-05-04</t>
  </si>
  <si>
    <t xml:space="preserve">stability|ui</t>
  </si>
  <si>
    <t xml:space="preserve">Giao diện đơn giản, thuận tiện, phí thấp</t>
  </si>
  <si>
    <t xml:space="preserve">06c66fa6</t>
  </si>
  <si>
    <t xml:space="preserve">mong muốn che số dư, khối lượng như vps</t>
  </si>
  <si>
    <t xml:space="preserve">a018878c</t>
  </si>
  <si>
    <t xml:space="preserve">2024-11-13</t>
  </si>
  <si>
    <t xml:space="preserve">money|promo|influencer</t>
  </si>
  <si>
    <t xml:space="preserve">mình đã quá chán nản khuyến nghị của các broker ít kinh nghiệm thì tìm thấy dnse, khuyến nghị của app khá ok với nhà đầu tư nhỏ lẻ, ít kinh nghiệm</t>
  </si>
  <si>
    <t xml:space="preserve">3098e894</t>
  </si>
  <si>
    <t xml:space="preserve">2025-05-08</t>
  </si>
  <si>
    <t xml:space="preserve">ko bị lag như bên ssi iboard</t>
  </si>
  <si>
    <t xml:space="preserve">5529fbb6</t>
  </si>
  <si>
    <t xml:space="preserve">2025-07-09</t>
  </si>
  <si>
    <t xml:space="preserve">Sao mãi chưa thấy tính năng gửi thông báo thế DNSE ơi? Có setting thông báo các kiểu nhưng không nhận được thông báo nào cả.</t>
  </si>
  <si>
    <t xml:space="preserve">10f974fe</t>
  </si>
  <si>
    <t xml:space="preserve">2024-10-12</t>
  </si>
  <si>
    <t xml:space="preserve">có rút được tiền ko mọi người</t>
  </si>
  <si>
    <t xml:space="preserve">d3a9f078</t>
  </si>
  <si>
    <t xml:space="preserve">2024-12-21</t>
  </si>
  <si>
    <t xml:space="preserve">tiền bán cổ phiếu về chậm quá.</t>
  </si>
  <si>
    <t xml:space="preserve">2683adda</t>
  </si>
  <si>
    <t xml:space="preserve">2023-09-01</t>
  </si>
  <si>
    <t xml:space="preserve">Anh chị bò và gấu là người giúp em nơi em có thể học hỏi về app cảm ơn nhiều</t>
  </si>
  <si>
    <t xml:space="preserve">1e200051</t>
  </si>
  <si>
    <t xml:space="preserve">2025-07-04</t>
  </si>
  <si>
    <t xml:space="preserve">stability|money|influencer|ui</t>
  </si>
  <si>
    <t xml:space="preserve">ủng hộ kênh youtube Bò và Gấu nên cài đặt app và đầu tư. app khá tốt, mình mua bán cp chưa gặp trục trặc gì. có AI hỗ trợ (chỉ ở mức trung bình)</t>
  </si>
  <si>
    <t xml:space="preserve">Deriving the priority customer segment</t>
  </si>
  <si>
    <t xml:space="preserve">Every index cell is a formula reading from the 'Segments 2024' sheet, so editing that sheet updates this one. Both indices are unweighted means, because any weighting chosen after seeing the data would be fitted to the result.</t>
  </si>
  <si>
    <t xml:space="preserve">Assumption</t>
  </si>
  <si>
    <t xml:space="preserve">Vietnamese adults aged 15 and over, millions</t>
  </si>
  <si>
    <t xml:space="preserve">General Statistics Office 2024 population structure applied to a population of 102 million</t>
  </si>
  <si>
    <t xml:space="preserve">Index definitions</t>
  </si>
  <si>
    <t xml:space="preserve">Index</t>
  </si>
  <si>
    <t xml:space="preserve">Indicator id</t>
  </si>
  <si>
    <t xml:space="preserve">Indicator</t>
  </si>
  <si>
    <t xml:space="preserve">Row on Segments 2024</t>
  </si>
  <si>
    <t xml:space="preserve">A investable surplus</t>
  </si>
  <si>
    <t xml:space="preserve">fin17a</t>
  </si>
  <si>
    <t xml:space="preserve">Saved at a bank or similar institution</t>
  </si>
  <si>
    <t xml:space="preserve">fin17dm</t>
  </si>
  <si>
    <t xml:space="preserve">Saved into an account, monthly</t>
  </si>
  <si>
    <t xml:space="preserve">fin8</t>
  </si>
  <si>
    <t xml:space="preserve">Stores money in an account</t>
  </si>
  <si>
    <t xml:space="preserve">fin17e</t>
  </si>
  <si>
    <t xml:space="preserve">Received interest on savings in the past year</t>
  </si>
  <si>
    <t xml:space="preserve">fin17f</t>
  </si>
  <si>
    <t xml:space="preserve">Saved for old age</t>
  </si>
  <si>
    <t xml:space="preserve">fin24bd</t>
  </si>
  <si>
    <t xml:space="preserve">Could cover more than two months without income</t>
  </si>
  <si>
    <t xml:space="preserve">B digital habit</t>
  </si>
  <si>
    <t xml:space="preserve">dig.acc</t>
  </si>
  <si>
    <t xml:space="preserve">Digitally enabled account</t>
  </si>
  <si>
    <t xml:space="preserve">con26d</t>
  </si>
  <si>
    <t xml:space="preserve">Uses the internet daily</t>
  </si>
  <si>
    <t xml:space="preserve">con9a</t>
  </si>
  <si>
    <t xml:space="preserve">Main phone is a smartphone</t>
  </si>
  <si>
    <t xml:space="preserve">fin25e3w</t>
  </si>
  <si>
    <t xml:space="preserve">In-store mobile or card payment, weekly</t>
  </si>
  <si>
    <t xml:space="preserve">fin9b</t>
  </si>
  <si>
    <t xml:space="preserve">Used mobile or internet to check account balance</t>
  </si>
  <si>
    <t xml:space="preserve">fin32.acc</t>
  </si>
  <si>
    <t xml:space="preserve">Received wages into an account</t>
  </si>
  <si>
    <t xml:space="preserve">Segment scores</t>
  </si>
  <si>
    <t xml:space="preserve">Segment</t>
  </si>
  <si>
    <t xml:space="preserve">Index A investable</t>
  </si>
  <si>
    <t xml:space="preserve">Index B digital</t>
  </si>
  <si>
    <t xml:space="preserve">Composite</t>
  </si>
  <si>
    <t xml:space="preserve">Account, per cent</t>
  </si>
  <si>
    <t xml:space="preserve">Saved at an institution, per cent</t>
  </si>
  <si>
    <t xml:space="preserve">Activation gap, points</t>
  </si>
  <si>
    <t xml:space="preserve">Population share, per cent</t>
  </si>
  <si>
    <t xml:space="preserve">Unconverted adults, millions</t>
  </si>
  <si>
    <t xml:space="preserve">Priority score</t>
  </si>
  <si>
    <t xml:space="preserve">All adults</t>
  </si>
  <si>
    <t xml:space="preserve">National benchmark, not a segment.</t>
  </si>
  <si>
    <t xml:space="preserve">Women</t>
  </si>
  <si>
    <t xml:space="preserve">Men</t>
  </si>
  <si>
    <t xml:space="preserve">Young (15-24)</t>
  </si>
  <si>
    <t xml:space="preserve">Widest separation between digital habit and investable surplus, and the largest activation gap of any segment. Cheap to acquire and hard to fund.</t>
  </si>
  <si>
    <t xml:space="preserve">Older (25+)</t>
  </si>
  <si>
    <t xml:space="preserve">Primary educ or less</t>
  </si>
  <si>
    <t xml:space="preserve">Secondary educ or more</t>
  </si>
  <si>
    <t xml:space="preserve">Effectively tied with the richest 60 per cent.</t>
  </si>
  <si>
    <t xml:space="preserve">Poorest 40%</t>
  </si>
  <si>
    <t xml:space="preserve">Lowest propensity on both indices.</t>
  </si>
  <si>
    <t xml:space="preserve">Richest 60%</t>
  </si>
  <si>
    <t xml:space="preserve">Highest propensity on both indices. Second on priority score.</t>
  </si>
  <si>
    <t xml:space="preserve">Rural</t>
  </si>
  <si>
    <t xml:space="preserve">Urban</t>
  </si>
  <si>
    <t xml:space="preserve">Out of labour force</t>
  </si>
  <si>
    <t xml:space="preserve">In labour force</t>
  </si>
  <si>
    <t xml:space="preserve">Highest priority score. Largest unconverted pool at a high propensity.</t>
  </si>
  <si>
    <t xml:space="preserve">Spread, Index B less Index A</t>
  </si>
  <si>
    <t xml:space="preserve">Array formula. The widest spread belongs to adults aged 15 to 24.</t>
  </si>
  <si>
    <t xml:space="preserve">Vietnam Findex 2024: indicators by segment</t>
  </si>
  <si>
    <t xml:space="preserve">Percentage of adults aged 15+ in each segment. Source: World Bank Global Findex Database 2025, retrieved via the World Bank API, 20 September 2026.</t>
  </si>
  <si>
    <t xml:space="preserve">account.t.d</t>
  </si>
  <si>
    <t xml:space="preserve">Has an account (any)</t>
  </si>
  <si>
    <t xml:space="preserve">Access</t>
  </si>
  <si>
    <t xml:space="preserve">fiaccount.t.d</t>
  </si>
  <si>
    <t xml:space="preserve">Bank or similar institution account</t>
  </si>
  <si>
    <t xml:space="preserve">mobileaccount.t.d</t>
  </si>
  <si>
    <t xml:space="preserve">Mobile money account</t>
  </si>
  <si>
    <t xml:space="preserve">fin2.t.d</t>
  </si>
  <si>
    <t xml:space="preserve">Owns a debit card</t>
  </si>
  <si>
    <t xml:space="preserve">fin4.d</t>
  </si>
  <si>
    <t xml:space="preserve">First account opened to receive wages or government money</t>
  </si>
  <si>
    <t xml:space="preserve">fin11e</t>
  </si>
  <si>
    <t xml:space="preserve">No account: family member already has one</t>
  </si>
  <si>
    <t xml:space="preserve">fin11_2a</t>
  </si>
  <si>
    <t xml:space="preserve">Could use an account without help if opened</t>
  </si>
  <si>
    <t xml:space="preserve">g20.any</t>
  </si>
  <si>
    <t xml:space="preserve">Made or received a digital payment</t>
  </si>
  <si>
    <t xml:space="preserve">Digital payments</t>
  </si>
  <si>
    <t xml:space="preserve">g20.made</t>
  </si>
  <si>
    <t xml:space="preserve">Made a digital payment</t>
  </si>
  <si>
    <t xml:space="preserve">g20.received</t>
  </si>
  <si>
    <t xml:space="preserve">Received digital payments</t>
  </si>
  <si>
    <t xml:space="preserve">fin3</t>
  </si>
  <si>
    <t xml:space="preserve">Used a card or mobile phone to make payments</t>
  </si>
  <si>
    <t xml:space="preserve">merchant.pay</t>
  </si>
  <si>
    <t xml:space="preserve">Made a digital merchant payment</t>
  </si>
  <si>
    <t xml:space="preserve">fin25e2</t>
  </si>
  <si>
    <t xml:space="preserve">Used mobile or card to pay for an in-store purchase</t>
  </si>
  <si>
    <t xml:space="preserve">fin26a</t>
  </si>
  <si>
    <t xml:space="preserve">Used mobile or internet to pay bills</t>
  </si>
  <si>
    <t xml:space="preserve">fin26b</t>
  </si>
  <si>
    <t xml:space="preserve">Used mobile or internet to buy something online</t>
  </si>
  <si>
    <t xml:space="preserve">fin27a</t>
  </si>
  <si>
    <t xml:space="preserve">Digital payment for an online purchase</t>
  </si>
  <si>
    <t xml:space="preserve">fin27b</t>
  </si>
  <si>
    <t xml:space="preserve">Cash on delivery for an online purchase</t>
  </si>
  <si>
    <t xml:space="preserve">fin30</t>
  </si>
  <si>
    <t xml:space="preserve">Made a utility payment</t>
  </si>
  <si>
    <t xml:space="preserve">fin31a.31b</t>
  </si>
  <si>
    <t xml:space="preserve">Utility payment using an account</t>
  </si>
  <si>
    <t xml:space="preserve">fin31d</t>
  </si>
  <si>
    <t xml:space="preserve">Utility payment in cash only</t>
  </si>
  <si>
    <t xml:space="preserve">save.any.t.d</t>
  </si>
  <si>
    <t xml:space="preserve">Saved any money</t>
  </si>
  <si>
    <t xml:space="preserve">Saving</t>
  </si>
  <si>
    <t xml:space="preserve">fin17b</t>
  </si>
  <si>
    <t xml:space="preserve">Saved using a mobile money account</t>
  </si>
  <si>
    <t xml:space="preserve">borrow.any.t.d</t>
  </si>
  <si>
    <t xml:space="preserve">Borrowed any money</t>
  </si>
  <si>
    <t xml:space="preserve">Credit</t>
  </si>
  <si>
    <t xml:space="preserve">fin22b</t>
  </si>
  <si>
    <t xml:space="preserve">Borrowed from family or friends</t>
  </si>
  <si>
    <t xml:space="preserve">fin19</t>
  </si>
  <si>
    <t xml:space="preserve">Makes regular payments to an insurer</t>
  </si>
  <si>
    <t xml:space="preserve">Insurance</t>
  </si>
  <si>
    <t xml:space="preserve">fin32</t>
  </si>
  <si>
    <t xml:space="preserve">Received wages</t>
  </si>
  <si>
    <t xml:space="preserve">Income</t>
  </si>
  <si>
    <t xml:space="preserve">fin34b</t>
  </si>
  <si>
    <t xml:space="preserve">Received wages through a mobile phone</t>
  </si>
  <si>
    <t xml:space="preserve">fin42</t>
  </si>
  <si>
    <t xml:space="preserve">Received payments for agricultural products</t>
  </si>
  <si>
    <t xml:space="preserve">fin43c</t>
  </si>
  <si>
    <t xml:space="preserve">Agricultural payments received in cash only</t>
  </si>
  <si>
    <t xml:space="preserve">fh1.fh2</t>
  </si>
  <si>
    <t xml:space="preserve">Sent or received domestic remittances</t>
  </si>
  <si>
    <t xml:space="preserve">fin24aVD</t>
  </si>
  <si>
    <t xml:space="preserve">Emergency funds possible but very difficult</t>
  </si>
  <si>
    <t xml:space="preserve">Resilience</t>
  </si>
  <si>
    <t xml:space="preserve">fin45c</t>
  </si>
  <si>
    <t xml:space="preserve">Top financial worry: medical costs</t>
  </si>
  <si>
    <t xml:space="preserve">fin45d</t>
  </si>
  <si>
    <t xml:space="preserve">Top financial worry: monthly bills</t>
  </si>
  <si>
    <t xml:space="preserve">fin45a</t>
  </si>
  <si>
    <t xml:space="preserve">Top financial worry: money for old age</t>
  </si>
  <si>
    <t xml:space="preserve">internet</t>
  </si>
  <si>
    <t xml:space="preserve">Used the internet in the past three months</t>
  </si>
  <si>
    <t xml:space="preserve">Connectivity</t>
  </si>
  <si>
    <t xml:space="preserve">con1</t>
  </si>
  <si>
    <t xml:space="preserve">Owns a mobile phone</t>
  </si>
  <si>
    <t xml:space="preserve">con18</t>
  </si>
  <si>
    <t xml:space="preserve">Phone is locked with a PIN, password or fingerprint</t>
  </si>
  <si>
    <t xml:space="preserve">con30c</t>
  </si>
  <si>
    <t xml:space="preserve">Used social media in the past three months</t>
  </si>
  <si>
    <t xml:space="preserve">con30f</t>
  </si>
  <si>
    <t xml:space="preserve">Used apps or websites to earn money</t>
  </si>
  <si>
    <t xml:space="preserve">Where the segment gaps are widest</t>
  </si>
  <si>
    <t xml:space="preserve">Every figure is a formula referencing 'Segments 2024', so edits there flow through. Gaps are in percentage points.</t>
  </si>
  <si>
    <t xml:space="preserve">Income gap (richest 60% less poorest 40%)</t>
  </si>
  <si>
    <t xml:space="preserve">Education gap (secondary+ less primary or less)</t>
  </si>
  <si>
    <t xml:space="preserve">Urban less rural</t>
  </si>
  <si>
    <t xml:space="preserve">Men less women</t>
  </si>
  <si>
    <t xml:space="preserve">Young less older</t>
  </si>
  <si>
    <t xml:space="preserve">In work less out of work</t>
  </si>
  <si>
    <t xml:space="preserve">Vietnam Findex 2024: national figures without a published segment breakdown</t>
  </si>
  <si>
    <t xml:space="preserve">Percentage of adults aged 15+. These are the indicators the World Bank published for 2024 at national level only.</t>
  </si>
  <si>
    <t xml:space="preserve">2024 (%)</t>
  </si>
  <si>
    <t xml:space="preserve">fin11d</t>
  </si>
  <si>
    <t xml:space="preserve">No account: insufficient funds</t>
  </si>
  <si>
    <t xml:space="preserve">fin11a</t>
  </si>
  <si>
    <t xml:space="preserve">No account: institutions are too far away</t>
  </si>
  <si>
    <t xml:space="preserve">inactive.t.d</t>
  </si>
  <si>
    <t xml:space="preserve">Has an inactive account</t>
  </si>
  <si>
    <t xml:space="preserve">fin11b</t>
  </si>
  <si>
    <t xml:space="preserve">No account: services are too expensive</t>
  </si>
  <si>
    <t xml:space="preserve">fin11f</t>
  </si>
  <si>
    <t xml:space="preserve">No account: lack of trust in institutions</t>
  </si>
  <si>
    <t xml:space="preserve">fin11_1</t>
  </si>
  <si>
    <t xml:space="preserve">Ever had an account but does not now</t>
  </si>
  <si>
    <t xml:space="preserve">fin11c</t>
  </si>
  <si>
    <t xml:space="preserve">No account: lack of documentation</t>
  </si>
  <si>
    <t xml:space="preserve">con21</t>
  </si>
  <si>
    <t xml:space="preserve">Received a call or SMS asking for money in the past year</t>
  </si>
  <si>
    <t xml:space="preserve">con23</t>
  </si>
  <si>
    <t xml:space="preserve">Received unwanted offensive messages or images</t>
  </si>
  <si>
    <t xml:space="preserve">fin22a.22a1.22g.d</t>
  </si>
  <si>
    <t xml:space="preserve">Borrowed from a formal institution or mobile money</t>
  </si>
  <si>
    <t xml:space="preserve">fin22a</t>
  </si>
  <si>
    <t xml:space="preserve">Borrowed from a formal financial institution</t>
  </si>
  <si>
    <t xml:space="preserve">fin10</t>
  </si>
  <si>
    <t xml:space="preserve">Owns a credit card</t>
  </si>
  <si>
    <t xml:space="preserve">fin22e</t>
  </si>
  <si>
    <t xml:space="preserve">Borrowed to start or operate a business</t>
  </si>
  <si>
    <t xml:space="preserve">fin22f</t>
  </si>
  <si>
    <t xml:space="preserve">Purchased food on credit</t>
  </si>
  <si>
    <t xml:space="preserve">fin22d</t>
  </si>
  <si>
    <t xml:space="preserve">Borrowed for health or medical purposes</t>
  </si>
  <si>
    <t xml:space="preserve">fin22c</t>
  </si>
  <si>
    <t xml:space="preserve">Borrowed from a savings club</t>
  </si>
  <si>
    <t xml:space="preserve">fin22g</t>
  </si>
  <si>
    <t xml:space="preserve">Used a credit card</t>
  </si>
  <si>
    <t xml:space="preserve">fin22h</t>
  </si>
  <si>
    <t xml:space="preserve">Paid credit card balance in full by the due date</t>
  </si>
  <si>
    <t xml:space="preserve">fin22a_1</t>
  </si>
  <si>
    <t xml:space="preserve">Borrowed from a mobile money provider</t>
  </si>
  <si>
    <t xml:space="preserve">fin20</t>
  </si>
  <si>
    <t xml:space="preserve">Applied for a loan using a mobile phone</t>
  </si>
  <si>
    <t xml:space="preserve">fin21</t>
  </si>
  <si>
    <t xml:space="preserve">Received a loan using a mobile phone</t>
  </si>
  <si>
    <t xml:space="preserve">fin25e4d</t>
  </si>
  <si>
    <t xml:space="preserve">Pays cash in store out of habit</t>
  </si>
  <si>
    <t xml:space="preserve">fin25e4a</t>
  </si>
  <si>
    <t xml:space="preserve">Pays cash in store because the merchant only accepts cash</t>
  </si>
  <si>
    <t xml:space="preserve">fin25e4e</t>
  </si>
  <si>
    <t xml:space="preserve">Pays cash in store: other reason</t>
  </si>
  <si>
    <t xml:space="preserve">fin25e4c</t>
  </si>
  <si>
    <t xml:space="preserve">Pays cash in store: does not trust card or phone payments</t>
  </si>
  <si>
    <t xml:space="preserve">fin25e4b</t>
  </si>
  <si>
    <t xml:space="preserve">Pays cash in store: card or phone is more expensive</t>
  </si>
  <si>
    <t xml:space="preserve">fh2a</t>
  </si>
  <si>
    <t xml:space="preserve">Received international remittances</t>
  </si>
  <si>
    <t xml:space="preserve">fin24c</t>
  </si>
  <si>
    <t xml:space="preserve">Experienced a natural disaster or severe weather event</t>
  </si>
  <si>
    <t xml:space="preserve">fin24d1</t>
  </si>
  <si>
    <t xml:space="preserve">Natural disaster: lost income or could not work</t>
  </si>
  <si>
    <t xml:space="preserve">fin24ba</t>
  </si>
  <si>
    <t xml:space="preserve">Could cover less than two weeks without income</t>
  </si>
  <si>
    <t xml:space="preserve">fin24d2</t>
  </si>
  <si>
    <t xml:space="preserve">Natural disaster: damage to home or livestock</t>
  </si>
  <si>
    <t xml:space="preserve">fin24aN</t>
  </si>
  <si>
    <t xml:space="preserve">Emergency funds not possible at all</t>
  </si>
  <si>
    <t xml:space="preserve">Vietnam Findex headline indicators, 2011 to 2024</t>
  </si>
  <si>
    <t xml:space="preserve">Percentage of adults aged 15+. Blank means the question was not asked in that wave. Change columns show percentage points.</t>
  </si>
  <si>
    <t xml:space="preserve">2011</t>
  </si>
  <si>
    <t xml:space="preserve">2014</t>
  </si>
  <si>
    <t xml:space="preserve">2017</t>
  </si>
  <si>
    <t xml:space="preserve">Change 2017 to 2024</t>
  </si>
  <si>
    <t xml:space="preserve">Change 2022 to 2024</t>
  </si>
  <si>
    <t xml:space="preserve">Used mobile or card for an in-store purchase</t>
  </si>
  <si>
    <t xml:space="preserve">Agricultural payments in cash only</t>
  </si>
  <si>
    <t xml:space="preserve">Vietnam macro, banking and market reference figures</t>
  </si>
  <si>
    <t xml:space="preserve">Compiled 20 September 2026. Every row names its period and source. Re-check each figure against the source before citing it in a submission.</t>
  </si>
  <si>
    <t xml:space="preserve">Category</t>
  </si>
  <si>
    <t xml:space="preserve">Period</t>
  </si>
  <si>
    <t xml:space="preserve">Macro</t>
  </si>
  <si>
    <t xml:space="preserve">GDP growth</t>
  </si>
  <si>
    <t xml:space="preserve">8.18%</t>
  </si>
  <si>
    <t xml:space="preserve">National Statistics Office</t>
  </si>
  <si>
    <t xml:space="preserve">8.39%</t>
  </si>
  <si>
    <t xml:space="preserve">7.83%</t>
  </si>
  <si>
    <t xml:space="preserve">GDP growth forecast</t>
  </si>
  <si>
    <t xml:space="preserve">7.3%</t>
  </si>
  <si>
    <t xml:space="preserve">FY2026</t>
  </si>
  <si>
    <t xml:space="preserve">Bloomberg survey, July 2026</t>
  </si>
  <si>
    <t xml:space="preserve">6.8%</t>
  </si>
  <si>
    <t xml:space="preserve">World Bank, May 2026</t>
  </si>
  <si>
    <t xml:space="preserve">7.2%</t>
  </si>
  <si>
    <t xml:space="preserve">AMRO</t>
  </si>
  <si>
    <t xml:space="preserve">CPI inflation</t>
  </si>
  <si>
    <t xml:space="preserve">4.69% y/y</t>
  </si>
  <si>
    <t xml:space="preserve">June 2026</t>
  </si>
  <si>
    <t xml:space="preserve">CPI inflation, average</t>
  </si>
  <si>
    <t xml:space="preserve">4.38%</t>
  </si>
  <si>
    <t xml:space="preserve">Core inflation</t>
  </si>
  <si>
    <t xml:space="preserve">4.50%</t>
  </si>
  <si>
    <t xml:space="preserve">Retail sales</t>
  </si>
  <si>
    <t xml:space="preserve">VND 3,889.5tn, +12.9% nominal, +7.3% real</t>
  </si>
  <si>
    <t xml:space="preserve">FDI registered</t>
  </si>
  <si>
    <t xml:space="preserve">USD 34.65bn, +61.0%</t>
  </si>
  <si>
    <t xml:space="preserve">FDI disbursed</t>
  </si>
  <si>
    <t xml:space="preserve">USD 13.03bn, +11.2%</t>
  </si>
  <si>
    <t xml:space="preserve">Exports</t>
  </si>
  <si>
    <t xml:space="preserve">USD 266.52bn, +21.0%</t>
  </si>
  <si>
    <t xml:space="preserve">Imports</t>
  </si>
  <si>
    <t xml:space="preserve">USD 283.17bn, +33.4%</t>
  </si>
  <si>
    <t xml:space="preserve">Trade deficit</t>
  </si>
  <si>
    <t xml:space="preserve">USD 16.65bn</t>
  </si>
  <si>
    <t xml:space="preserve">Unemployment rate</t>
  </si>
  <si>
    <t xml:space="preserve">2.22%</t>
  </si>
  <si>
    <t xml:space="preserve">Employed persons</t>
  </si>
  <si>
    <t xml:space="preserve">52.6 million</t>
  </si>
  <si>
    <t xml:space="preserve">Average monthly income</t>
  </si>
  <si>
    <t xml:space="preserve">About VND 9.0 million</t>
  </si>
  <si>
    <t xml:space="preserve">New enterprises registered</t>
  </si>
  <si>
    <t xml:space="preserve">111.7 thousand, +22.5%</t>
  </si>
  <si>
    <t xml:space="preserve">Enterprises dissolved</t>
  </si>
  <si>
    <t xml:space="preserve">About 24.0 thousand, +94.7%</t>
  </si>
  <si>
    <t xml:space="preserve">Exchange rate</t>
  </si>
  <si>
    <t xml:space="preserve">About VND 26,000 to 26,300 per USD</t>
  </si>
  <si>
    <t xml:space="preserve">UOB projections, market data</t>
  </si>
  <si>
    <t xml:space="preserve">Banking</t>
  </si>
  <si>
    <t xml:space="preserve">Listed bank total assets</t>
  </si>
  <si>
    <t xml:space="preserve">Over VND 21 quadrillion, +23%</t>
  </si>
  <si>
    <t xml:space="preserve">End-2025</t>
  </si>
  <si>
    <t xml:space="preserve">Listed bank filings</t>
  </si>
  <si>
    <t xml:space="preserve">Sector total assets including Agribank</t>
  </si>
  <si>
    <t xml:space="preserve">Roughly VND 24 quadrillion</t>
  </si>
  <si>
    <t xml:space="preserve">Derived from bank filings</t>
  </si>
  <si>
    <t xml:space="preserve">Credit growth</t>
  </si>
  <si>
    <t xml:space="preserve">About 19%</t>
  </si>
  <si>
    <t xml:space="preserve">SBV, FiinRatings</t>
  </si>
  <si>
    <t xml:space="preserve">Deposit growth</t>
  </si>
  <si>
    <t xml:space="preserve">11.4%</t>
  </si>
  <si>
    <t xml:space="preserve">FiinRatings</t>
  </si>
  <si>
    <t xml:space="preserve">Credit to GDP</t>
  </si>
  <si>
    <t xml:space="preserve">Above 140%</t>
  </si>
  <si>
    <t xml:space="preserve">Net interest margin, sector</t>
  </si>
  <si>
    <t xml:space="preserve">2.9%</t>
  </si>
  <si>
    <t xml:space="preserve">Net interest margin, forecast</t>
  </si>
  <si>
    <t xml:space="preserve">Below 3.0%</t>
  </si>
  <si>
    <t xml:space="preserve">NIM, state-owned banks</t>
  </si>
  <si>
    <t xml:space="preserve">2.6%</t>
  </si>
  <si>
    <t xml:space="preserve">NIM, top four private banks</t>
  </si>
  <si>
    <t xml:space="preserve">3.9%</t>
  </si>
  <si>
    <t xml:space="preserve">NIM, other private banks</t>
  </si>
  <si>
    <t xml:space="preserve">2.7%</t>
  </si>
  <si>
    <t xml:space="preserve">Non-performing loan ratio</t>
  </si>
  <si>
    <t xml:space="preserve">About 1.9%</t>
  </si>
  <si>
    <t xml:space="preserve">Special mention loans</t>
  </si>
  <si>
    <t xml:space="preserve">1.2%</t>
  </si>
  <si>
    <t xml:space="preserve">Net write-offs</t>
  </si>
  <si>
    <t xml:space="preserve">1.3% of average gross loans</t>
  </si>
  <si>
    <t xml:space="preserve">Return on assets</t>
  </si>
  <si>
    <t xml:space="preserve">About 1.4%</t>
  </si>
  <si>
    <t xml:space="preserve">Sector return on equity</t>
  </si>
  <si>
    <t xml:space="preserve">17 to 18%</t>
  </si>
  <si>
    <t xml:space="preserve">Market data</t>
  </si>
  <si>
    <t xml:space="preserve">Cost to income, median</t>
  </si>
  <si>
    <t xml:space="preserve">51.0%</t>
  </si>
  <si>
    <t xml:space="preserve">Capital adequacy, median</t>
  </si>
  <si>
    <t xml:space="preserve">11.9%</t>
  </si>
  <si>
    <t xml:space="preserve">H1 2025</t>
  </si>
  <si>
    <t xml:space="preserve">Loan to deposit, state-owned</t>
  </si>
  <si>
    <t xml:space="preserve">78.3%</t>
  </si>
  <si>
    <t xml:space="preserve">Loan to deposit, top four private</t>
  </si>
  <si>
    <t xml:space="preserve">82.8%</t>
  </si>
  <si>
    <t xml:space="preserve">Loan to deposit, other private</t>
  </si>
  <si>
    <t xml:space="preserve">71.1%</t>
  </si>
  <si>
    <t xml:space="preserve">Non-interest income share</t>
  </si>
  <si>
    <t xml:space="preserve">23.8% of total operating income</t>
  </si>
  <si>
    <t xml:space="preserve">Lending mix</t>
  </si>
  <si>
    <t xml:space="preserve">Corporate 54%, retail 46%</t>
  </si>
  <si>
    <t xml:space="preserve">Real estate and construction loans</t>
  </si>
  <si>
    <t xml:space="preserve">24.6% of total</t>
  </si>
  <si>
    <t xml:space="preserve">Twelve-month deposit rates</t>
  </si>
  <si>
    <t xml:space="preserve">About 7%, some banks above 8%</t>
  </si>
  <si>
    <t xml:space="preserve">March 2026</t>
  </si>
  <si>
    <t xml:space="preserve">VinaCapital</t>
  </si>
  <si>
    <t xml:space="preserve">Listed banks with assets above VND 1 quadrillion</t>
  </si>
  <si>
    <t xml:space="preserve">Six: BIDV, VietinBank, Vietcombank, MB, VPBank, Techcombank</t>
  </si>
  <si>
    <t xml:space="preserve">Bank filings</t>
  </si>
  <si>
    <t xml:space="preserve">BIDV total assets</t>
  </si>
  <si>
    <t xml:space="preserve">About VND 3.3 quadrillion, +21%</t>
  </si>
  <si>
    <t xml:space="preserve">VietinBank total assets</t>
  </si>
  <si>
    <t xml:space="preserve">About VND 2.7 quadrillion, +16%</t>
  </si>
  <si>
    <t xml:space="preserve">Vietcombank total assets</t>
  </si>
  <si>
    <t xml:space="preserve">About VND 2.4 quadrillion, +17%</t>
  </si>
  <si>
    <t xml:space="preserve">VPBank total assets</t>
  </si>
  <si>
    <t xml:space="preserve">About VND 1.3 quadrillion, +36%</t>
  </si>
  <si>
    <t xml:space="preserve">Techcombank total assets</t>
  </si>
  <si>
    <t xml:space="preserve">About VND 1.2 quadrillion, +22%</t>
  </si>
  <si>
    <t xml:space="preserve">MB total assets</t>
  </si>
  <si>
    <t xml:space="preserve">Above VND 1,600 trillion, +43% y/y</t>
  </si>
  <si>
    <t xml:space="preserve">MB 2026 plan</t>
  </si>
  <si>
    <t xml:space="preserve">MB pre-tax profit</t>
  </si>
  <si>
    <t xml:space="preserve">VND 34,268 billion, +18.9%</t>
  </si>
  <si>
    <t xml:space="preserve">MB outstanding loans</t>
  </si>
  <si>
    <t xml:space="preserve">Above VND 1,000 trillion, +37%</t>
  </si>
  <si>
    <t xml:space="preserve">MB customers</t>
  </si>
  <si>
    <t xml:space="preserve">35 million, target 40 million</t>
  </si>
  <si>
    <t xml:space="preserve">2025 to 2026</t>
  </si>
  <si>
    <t xml:space="preserve">MBBank app users</t>
  </si>
  <si>
    <t xml:space="preserve">35 million, largest in Vietnam</t>
  </si>
  <si>
    <t xml:space="preserve">BIZ MBBank business users</t>
  </si>
  <si>
    <t xml:space="preserve">More than 358,000</t>
  </si>
  <si>
    <t xml:space="preserve">MB 2026 targets</t>
  </si>
  <si>
    <t xml:space="preserve">Credit and deposit growth 30-35%, profit +15%, ROE above 20%, NPL below 1%, CASA about 36%</t>
  </si>
  <si>
    <t xml:space="preserve">MB loan to deposit ratio</t>
  </si>
  <si>
    <t xml:space="preserve">About 79%</t>
  </si>
  <si>
    <t xml:space="preserve">FiinRatings, press</t>
  </si>
  <si>
    <t xml:space="preserve">SMBC stake in VPBank</t>
  </si>
  <si>
    <t xml:space="preserve">15%, acquired for USD 1.5 billion</t>
  </si>
  <si>
    <t xml:space="preserve">Completed 2023</t>
  </si>
  <si>
    <t xml:space="preserve">VPBank, SMBC</t>
  </si>
  <si>
    <t xml:space="preserve">Techcombank retail credit</t>
  </si>
  <si>
    <t xml:space="preserve">VND 372.0 trillion, +30.8%</t>
  </si>
  <si>
    <t xml:space="preserve">Techcombank FY25 press release</t>
  </si>
  <si>
    <t xml:space="preserve">Techcombank corporate credit</t>
  </si>
  <si>
    <t xml:space="preserve">VND 452.1 trillion, +13.4%</t>
  </si>
  <si>
    <t xml:space="preserve">Techcombank customer deposits</t>
  </si>
  <si>
    <t xml:space="preserve">VND 665.6 trillion, CASA balance VND 268.7 trillion, CASA ratio 40.4%</t>
  </si>
  <si>
    <t xml:space="preserve">Techcombank profitability</t>
  </si>
  <si>
    <t xml:space="preserve">ROE 16.0% LTM, ROA 2.4%, CIR 30.8%, NIM 3.8% LTM, NPL 1.13%, CAR 14.6%</t>
  </si>
  <si>
    <t xml:space="preserve">Listed commercial banks</t>
  </si>
  <si>
    <t xml:space="preserve">27</t>
  </si>
  <si>
    <t xml:space="preserve">Vietnamese financial press</t>
  </si>
  <si>
    <t xml:space="preserve">SMBC Consumer Finance stake in FE Credit</t>
  </si>
  <si>
    <t xml:space="preserve">49%</t>
  </si>
  <si>
    <t xml:space="preserve">Cake by VPBank customers</t>
  </si>
  <si>
    <t xml:space="preserve">About 6.2 million in 2025; company claims over 7 million by 2026</t>
  </si>
  <si>
    <t xml:space="preserve">Company statements</t>
  </si>
  <si>
    <t xml:space="preserve">Cake profitability</t>
  </si>
  <si>
    <t xml:space="preserve">EBITDA-positive from Q3 2024. Company-reported, no audited standalone accounts</t>
  </si>
  <si>
    <t xml:space="preserve">Cake average revenue per user</t>
  </si>
  <si>
    <t xml:space="preserve">USD 25 in 2025, projected USD 44 in 2026. Company-reported, unaudited</t>
  </si>
  <si>
    <t xml:space="preserve">Payments</t>
  </si>
  <si>
    <t xml:space="preserve">Non-cash transactions</t>
  </si>
  <si>
    <t xml:space="preserve">Over 15 billion transactions, over VND 190 quadrillion, volume +34.28%, value +12.24%</t>
  </si>
  <si>
    <t xml:space="preserve">State Bank of Vietnam</t>
  </si>
  <si>
    <t xml:space="preserve">Non-cash payment value per day</t>
  </si>
  <si>
    <t xml:space="preserve">About VND 1.05 quadrillion, roughly USD 40 billion</t>
  </si>
  <si>
    <t xml:space="preserve">Volume +43.3%, value +24.2%</t>
  </si>
  <si>
    <t xml:space="preserve">9M 2025</t>
  </si>
  <si>
    <t xml:space="preserve">QR code payments</t>
  </si>
  <si>
    <t xml:space="preserve">Volume +61.6%, value +150.7%</t>
  </si>
  <si>
    <t xml:space="preserve">Internet banking</t>
  </si>
  <si>
    <t xml:space="preserve">Volume +51.2%, value +37.2%</t>
  </si>
  <si>
    <t xml:space="preserve">Mobile banking</t>
  </si>
  <si>
    <t xml:space="preserve">Volume +37.4%, value +21.8%</t>
  </si>
  <si>
    <t xml:space="preserve">ATM transactions</t>
  </si>
  <si>
    <t xml:space="preserve">Volume -16.77%, value -5.74%</t>
  </si>
  <si>
    <t xml:space="preserve">Mobile Money accounts</t>
  </si>
  <si>
    <t xml:space="preserve">10.89 million, 70% rural</t>
  </si>
  <si>
    <t xml:space="preserve">September 2025</t>
  </si>
  <si>
    <t xml:space="preserve">Individual payment accounts</t>
  </si>
  <si>
    <t xml:space="preserve">About 232 million, +14%</t>
  </si>
  <si>
    <t xml:space="preserve">Cards in circulation</t>
  </si>
  <si>
    <t xml:space="preserve">Over 164 million</t>
  </si>
  <si>
    <t xml:space="preserve">Payment account penetration, official</t>
  </si>
  <si>
    <t xml:space="preserve">Over 89% of people aged 15+</t>
  </si>
  <si>
    <t xml:space="preserve">Account ownership, survey measure</t>
  </si>
  <si>
    <t xml:space="preserve">70.6% of adults aged 15+</t>
  </si>
  <si>
    <t xml:space="preserve">Findex 2024 fieldwork</t>
  </si>
  <si>
    <t xml:space="preserve">World Bank Global Findex</t>
  </si>
  <si>
    <t xml:space="preserve">Biometric verification</t>
  </si>
  <si>
    <t xml:space="preserve">167.8 million individual customer records, 2.78 million institutional records. Counts records, not people</t>
  </si>
  <si>
    <t xml:space="preserve">31 July 2026</t>
  </si>
  <si>
    <t xml:space="preserve">SIMO fraud alerts</t>
  </si>
  <si>
    <t xml:space="preserve">4.6 million customers alerted, 1.5 million transactions abandoned, about VND 5.2 trillion prevented</t>
  </si>
  <si>
    <t xml:space="preserve">July 2026</t>
  </si>
  <si>
    <t xml:space="preserve">Fraud prevention</t>
  </si>
  <si>
    <t xml:space="preserve">440,000+ transactions flagged, VND 1.6tn prevented</t>
  </si>
  <si>
    <t xml:space="preserve">Licensed providers</t>
  </si>
  <si>
    <t xml:space="preserve">53 payment providers, 49 e-wallet operators</t>
  </si>
  <si>
    <t xml:space="preserve">Business</t>
  </si>
  <si>
    <t xml:space="preserve">Active economic establishments</t>
  </si>
  <si>
    <t xml:space="preserve">Nearly 6.3 million, employing over 30.37 million people</t>
  </si>
  <si>
    <t xml:space="preserve">2026 census</t>
  </si>
  <si>
    <t xml:space="preserve">Enterprises</t>
  </si>
  <si>
    <t xml:space="preserve">859,048</t>
  </si>
  <si>
    <t xml:space="preserve">Cooperatives</t>
  </si>
  <si>
    <t xml:space="preserve">17,145</t>
  </si>
  <si>
    <t xml:space="preserve">Individual business households</t>
  </si>
  <si>
    <t xml:space="preserve">5,254,952</t>
  </si>
  <si>
    <t xml:space="preserve">Enterprise growth versus 2020</t>
  </si>
  <si>
    <t xml:space="preserve">+25.5%</t>
  </si>
  <si>
    <t xml:space="preserve">FDI enterprises</t>
  </si>
  <si>
    <t xml:space="preserve">About 30,000, +34% versus 2020</t>
  </si>
  <si>
    <t xml:space="preserve">Workers in economic establishments</t>
  </si>
  <si>
    <t xml:space="preserve">Over 30.37 million</t>
  </si>
  <si>
    <t xml:space="preserve">Enterprise employment</t>
  </si>
  <si>
    <t xml:space="preserve">17.6 million, about 57.6% of workers in economic establishments, not of the 52.6 million national employed</t>
  </si>
  <si>
    <t xml:space="preserve">Micro enterprise credit access</t>
  </si>
  <si>
    <t xml:space="preserve">8.8%</t>
  </si>
  <si>
    <t xml:space="preserve">To July 2026</t>
  </si>
  <si>
    <t xml:space="preserve">FiinGroup</t>
  </si>
  <si>
    <t xml:space="preserve">Small and medium enterprise credit access</t>
  </si>
  <si>
    <t xml:space="preserve">30.9%</t>
  </si>
  <si>
    <t xml:space="preserve">All SMEs credit access</t>
  </si>
  <si>
    <t xml:space="preserve">20.5%</t>
  </si>
  <si>
    <t xml:space="preserve">Large enterprise credit access</t>
  </si>
  <si>
    <t xml:space="preserve">61.4%</t>
  </si>
  <si>
    <t xml:space="preserve">Preferential credit programme</t>
  </si>
  <si>
    <t xml:space="preserve">VND 408 trillion across 12 banks, for SMEs and other growth drivers, not SME-only</t>
  </si>
  <si>
    <t xml:space="preserve">24 August 2026</t>
  </si>
  <si>
    <t xml:space="preserve">Thoi bao Ngan hang, SBV directive 7 August 2026</t>
  </si>
  <si>
    <t xml:space="preserve">Big four share of SME commitment</t>
  </si>
  <si>
    <t xml:space="preserve">VND 220 trillion</t>
  </si>
  <si>
    <t xml:space="preserve">August 2026</t>
  </si>
  <si>
    <t xml:space="preserve">Press reporting</t>
  </si>
  <si>
    <t xml:space="preserve">Tax exemption threshold</t>
  </si>
  <si>
    <t xml:space="preserve">VND 500 million revenue</t>
  </si>
  <si>
    <t xml:space="preserve">From 2026</t>
  </si>
  <si>
    <t xml:space="preserve">Revised Personal Income Tax Law</t>
  </si>
  <si>
    <t xml:space="preserve">E-invoice threshold</t>
  </si>
  <si>
    <t xml:space="preserve">VND 1 billion revenue</t>
  </si>
  <si>
    <t xml:space="preserve">Decree 68/2026/ND-CP</t>
  </si>
  <si>
    <t xml:space="preserve">Net income method threshold</t>
  </si>
  <si>
    <t xml:space="preserve">VND 3 billion revenue</t>
  </si>
  <si>
    <t xml:space="preserve">Markets</t>
  </si>
  <si>
    <t xml:space="preserve">Domestic individual securities accounts</t>
  </si>
  <si>
    <t xml:space="preserve">13.8 million, about 14% of the population</t>
  </si>
  <si>
    <t xml:space="preserve">End-August 2026</t>
  </si>
  <si>
    <t xml:space="preserve">VSDC</t>
  </si>
  <si>
    <t xml:space="preserve">Foreign securities accounts</t>
  </si>
  <si>
    <t xml:space="preserve">52,633</t>
  </si>
  <si>
    <t xml:space="preserve">New accounts in 2026</t>
  </si>
  <si>
    <t xml:space="preserve">Over 2 million, about 230,000 in August</t>
  </si>
  <si>
    <t xml:space="preserve">To end-August 2026</t>
  </si>
  <si>
    <t xml:space="preserve">Retail share of account growth</t>
  </si>
  <si>
    <t xml:space="preserve">Over 99%</t>
  </si>
  <si>
    <t xml:space="preserve">Margin lending outstanding</t>
  </si>
  <si>
    <t xml:space="preserve">Over VND 420 trillion</t>
  </si>
  <si>
    <t xml:space="preserve">Securities company filings</t>
  </si>
  <si>
    <t xml:space="preserve">Industry margin to equity</t>
  </si>
  <si>
    <t xml:space="preserve">About 83%, ceiling 200%</t>
  </si>
  <si>
    <t xml:space="preserve">Brokerage share, VPS</t>
  </si>
  <si>
    <t xml:space="preserve">12.61%</t>
  </si>
  <si>
    <t xml:space="preserve">Q2 2026 HOSE</t>
  </si>
  <si>
    <t xml:space="preserve">HOSE</t>
  </si>
  <si>
    <t xml:space="preserve">Brokerage share, SSI</t>
  </si>
  <si>
    <t xml:space="preserve">11.17%</t>
  </si>
  <si>
    <t xml:space="preserve">Brokerage share, TCBS</t>
  </si>
  <si>
    <t xml:space="preserve">9.36%</t>
  </si>
  <si>
    <t xml:space="preserve">Brokerage share, VPS on HNX</t>
  </si>
  <si>
    <t xml:space="preserve">17.71%</t>
  </si>
  <si>
    <t xml:space="preserve">Q2 2026 HNX</t>
  </si>
  <si>
    <t xml:space="preserve">HNX</t>
  </si>
  <si>
    <t xml:space="preserve">Brokerage share, TCBS on HNX</t>
  </si>
  <si>
    <t xml:space="preserve">9.00%</t>
  </si>
  <si>
    <t xml:space="preserve">Derivatives share, VPS</t>
  </si>
  <si>
    <t xml:space="preserve">33.84%, first place</t>
  </si>
  <si>
    <t xml:space="preserve">DNSE derivatives share</t>
  </si>
  <si>
    <t xml:space="preserve">25.38%, second behind VPS</t>
  </si>
  <si>
    <t xml:space="preserve">DNSE investor relations</t>
  </si>
  <si>
    <t xml:space="preserve">25.47%, second place</t>
  </si>
  <si>
    <t xml:space="preserve">DNSE listed stock share on HNX</t>
  </si>
  <si>
    <t xml:space="preserve">2.88%, eighth</t>
  </si>
  <si>
    <t xml:space="preserve">DNSE revenue</t>
  </si>
  <si>
    <t xml:space="preserve">VND 455.2 billion, +55.9% y/y</t>
  </si>
  <si>
    <t xml:space="preserve">VND 852.6 billion, +58.4% y/y</t>
  </si>
  <si>
    <t xml:space="preserve">DNSE pre-tax profit</t>
  </si>
  <si>
    <t xml:space="preserve">VND 98.9 billion, +8.7% y/y</t>
  </si>
  <si>
    <t xml:space="preserve">TCBS assets under management</t>
  </si>
  <si>
    <t xml:space="preserve">VND 645 trillion</t>
  </si>
  <si>
    <t xml:space="preserve">Techcombank investor presentation</t>
  </si>
  <si>
    <t xml:space="preserve">FTSE Russell reclassification</t>
  </si>
  <si>
    <t xml:space="preserve">Frontier to Secondary Emerging, effective at the open on 21 September 2026</t>
  </si>
  <si>
    <t xml:space="preserve">LSEG, FTSE Russell</t>
  </si>
  <si>
    <t xml:space="preserve">Vietnamese stocks in the FTSE review</t>
  </si>
  <si>
    <t xml:space="preserve">28</t>
  </si>
  <si>
    <t xml:space="preserve">FTSE-benchmarked assets</t>
  </si>
  <si>
    <t xml:space="preserve">About USD 18.1 trillion</t>
  </si>
  <si>
    <t xml:space="preserve">FTSE Russell</t>
  </si>
  <si>
    <t xml:space="preserve">Life new business premiums</t>
  </si>
  <si>
    <t xml:space="preserve">VND 23 trillion</t>
  </si>
  <si>
    <t xml:space="preserve">Milliman</t>
  </si>
  <si>
    <t xml:space="preserve">VND 50 trillion</t>
  </si>
  <si>
    <t xml:space="preserve">VND 34 trillion</t>
  </si>
  <si>
    <t xml:space="preserve">VND 25 trillion</t>
  </si>
  <si>
    <t xml:space="preserve">VND 24 trillion</t>
  </si>
  <si>
    <t xml:space="preserve">Bancassurance growth before the crisis</t>
  </si>
  <si>
    <t xml:space="preserve">53% CAGR</t>
  </si>
  <si>
    <t xml:space="preserve">To 2022</t>
  </si>
  <si>
    <t xml:space="preserve">Top seven market share</t>
  </si>
  <si>
    <t xml:space="preserve">75%, Bao Viet Life 21%</t>
  </si>
  <si>
    <t xml:space="preserve">First-year lapse rates</t>
  </si>
  <si>
    <t xml:space="preserve">Above 70% at some insurers</t>
  </si>
  <si>
    <t xml:space="preserve">Post-crisis</t>
  </si>
  <si>
    <t xml:space="preserve">Regulation</t>
  </si>
  <si>
    <t xml:space="preserve">Decree 94/2025/ND-CP</t>
  </si>
  <si>
    <t xml:space="preserve">Banking sandbox: P2P lending, open API, credit scoring</t>
  </si>
  <si>
    <t xml:space="preserve">From 1 July 2025</t>
  </si>
  <si>
    <t xml:space="preserve">Government of Vietnam</t>
  </si>
  <si>
    <t xml:space="preserve">Circular 64/2024/TT-NHNN</t>
  </si>
  <si>
    <t xml:space="preserve">Open API standards, compliance by 1 March 2027</t>
  </si>
  <si>
    <t xml:space="preserve">Resolution 202/2025/QH15</t>
  </si>
  <si>
    <t xml:space="preserve">Provinces reduced from 63 to 34, being 28 provinces and 6 centrally-run cities; districts abolished</t>
  </si>
  <si>
    <t xml:space="preserve">Passed 12 June 2025, effective 1 July 2025</t>
  </si>
  <si>
    <t xml:space="preserve">National Assembly</t>
  </si>
  <si>
    <t xml:space="preserve">Household business tax administration</t>
  </si>
  <si>
    <t xml:space="preserve">5 March 2026</t>
  </si>
  <si>
    <t xml:space="preserve">Lump-sum tax abolished</t>
  </si>
  <si>
    <t xml:space="preserve">Household businesses must self-declare</t>
  </si>
  <si>
    <t xml:space="preserve">From 1 January 2026</t>
  </si>
  <si>
    <t xml:space="preserve">Resolution 05/2025/NQ-CP</t>
  </si>
  <si>
    <t xml:space="preserve">Five-year crypto pilot, charter capital VND 10,000bn</t>
  </si>
  <si>
    <t xml:space="preserve">9 September 2025</t>
  </si>
  <si>
    <t xml:space="preserve">Circular 14/2025</t>
  </si>
  <si>
    <t xml:space="preserve">Basel III capital requirements</t>
  </si>
  <si>
    <t xml:space="preserve">Phasing in</t>
  </si>
  <si>
    <t xml:space="preserve">Where to get the rest of the data</t>
  </si>
  <si>
    <t xml:space="preserve">Checked in a browser on 20 September 2026. Notes record what was actually found, including where a site turned out to be thinner than expected.</t>
  </si>
  <si>
    <t xml:space="preserve">Covers</t>
  </si>
  <si>
    <t xml:space="preserve">Link</t>
  </si>
  <si>
    <t xml:space="preserve">Notes</t>
  </si>
  <si>
    <t xml:space="preserve">World Bank Microdata Library</t>
  </si>
  <si>
    <t xml:space="preserve">Findex respondent-level file</t>
  </si>
  <si>
    <t xml:space="preserve">microdata.worldbank.org/index.php/catalog/7998</t>
  </si>
  <si>
    <t xml:space="preserve">Verified: 1,000 cases, 199 variables, reference VNM_2024_FINDEX_v02_M. Free after accepting terms, no registration</t>
  </si>
  <si>
    <t xml:space="preserve">World Bank Open Data API</t>
  </si>
  <si>
    <t xml:space="preserve">Findex aggregates</t>
  </si>
  <si>
    <t xml:space="preserve">api.worldbank.org/v2/sources/28/country/VNM/series/all/data?format=json</t>
  </si>
  <si>
    <t xml:space="preserve">Verified: the source of this workbook. No key needed</t>
  </si>
  <si>
    <t xml:space="preserve">GDP, CPI, FDI, trade, provincial data, 2026 census</t>
  </si>
  <si>
    <t xml:space="preserve">nso.gov.vn</t>
  </si>
  <si>
    <t xml:space="preserve">English releases available. Provincial series break at 1 July 2025 because of the merger</t>
  </si>
  <si>
    <t xml:space="preserve">Payment statistics, credit data, circulars</t>
  </si>
  <si>
    <t xml:space="preserve">sbv.gov.vn</t>
  </si>
  <si>
    <t xml:space="preserve">Aggregate only. Good for payments and regulation</t>
  </si>
  <si>
    <t xml:space="preserve">Vietstock</t>
  </si>
  <si>
    <t xml:space="preserve">Listed company financials</t>
  </si>
  <si>
    <t xml:space="preserve">finance.vietstock.vn/TICKER/tai-chinh.htm</t>
  </si>
  <si>
    <t xml:space="preserve">Verified: swap the ticker to change company. History to 2011. Pre-computes NIM, cost of funds and yield on earning assets. Has a data export menu</t>
  </si>
  <si>
    <t xml:space="preserve">CafeF</t>
  </si>
  <si>
    <t xml:space="preserve">s.cafef.vn</t>
  </si>
  <si>
    <t xml:space="preserve">Alternative structure, useful as a cross-check against Vietstock</t>
  </si>
  <si>
    <t xml:space="preserve">VPBank investor relations</t>
  </si>
  <si>
    <t xml:space="preserve">VPB filings and investor decks</t>
  </si>
  <si>
    <t xml:space="preserve">vpbank.com.vn/en/quan-he-nha-dau-tu</t>
  </si>
  <si>
    <t xml:space="preserve">Verified: statements 2011 to 2026, VAS and IFRS, consolidated and separate, searchable PDFs. Quarterly Performance Packs carry segment detail</t>
  </si>
  <si>
    <t xml:space="preserve">DSE filings and market share</t>
  </si>
  <si>
    <t xml:space="preserve">ir.dnse.com.vn/en</t>
  </si>
  <si>
    <t xml:space="preserve">Verified: English site, Q2 2026 published, annual reports 2024 and 2025, earnings releases with market share</t>
  </si>
  <si>
    <t xml:space="preserve">Techcombank investor relations</t>
  </si>
  <si>
    <t xml:space="preserve">TCB investor presentation</t>
  </si>
  <si>
    <t xml:space="preserve">techcombank.com</t>
  </si>
  <si>
    <t xml:space="preserve">The most detailed investor deck in Vietnamese banking</t>
  </si>
  <si>
    <t xml:space="preserve">MB</t>
  </si>
  <si>
    <t xml:space="preserve">MBB filings</t>
  </si>
  <si>
    <t xml:space="preserve">mbbank.com.vn</t>
  </si>
  <si>
    <t xml:space="preserve">English investor pages were partly unavailable when checked. Use Vietstock and HOSE instead</t>
  </si>
  <si>
    <t xml:space="preserve">Listings, filings, brokerage share</t>
  </si>
  <si>
    <t xml:space="preserve">hsx.vn</t>
  </si>
  <si>
    <t xml:space="preserve">Quarterly brokerage market share tables</t>
  </si>
  <si>
    <t xml:space="preserve">Listings, derivatives market share</t>
  </si>
  <si>
    <t xml:space="preserve">hnx.vn</t>
  </si>
  <si>
    <t xml:space="preserve">Source of the DNSE derivatives share figures</t>
  </si>
  <si>
    <t xml:space="preserve">Securities account statistics</t>
  </si>
  <si>
    <t xml:space="preserve">vsdc.vn</t>
  </si>
  <si>
    <t xml:space="preserve">Monthly account openings split by investor type</t>
  </si>
  <si>
    <t xml:space="preserve">NAPAS</t>
  </si>
  <si>
    <t xml:space="preserve">Interbank switching, VietQR</t>
  </si>
  <si>
    <t xml:space="preserve">napas.com.vn</t>
  </si>
  <si>
    <t xml:space="preserve">Aggregate payment statistics</t>
  </si>
  <si>
    <t xml:space="preserve">FiinRatings and FiinGroup</t>
  </si>
  <si>
    <t xml:space="preserve">Banking and consumer finance research</t>
  </si>
  <si>
    <t xml:space="preserve">fiinratings.vn, fiingroup.vn</t>
  </si>
  <si>
    <t xml:space="preserve">Some reports free. Source of most banking metrics in this workbook</t>
  </si>
  <si>
    <t xml:space="preserve">Monthly macro commentary</t>
  </si>
  <si>
    <t xml:space="preserve">vof.vinacapital.com</t>
  </si>
  <si>
    <t xml:space="preserve">Free, current, well sourced</t>
  </si>
  <si>
    <t xml:space="preserve">Life insurance analysis</t>
  </si>
  <si>
    <t xml:space="preserve">milliman.com</t>
  </si>
  <si>
    <t xml:space="preserve">Source of the insurance premium series</t>
  </si>
  <si>
    <t xml:space="preserve">Google Play scraping</t>
  </si>
  <si>
    <t xml:space="preserve">App reviews</t>
  </si>
  <si>
    <t xml:space="preserve">google-play-scraper on npm or PyPI</t>
  </si>
  <si>
    <t xml:space="preserve">Thousands of dated, rated, versioned reviews per app. Genuinely messy, which suits the data-cleaning criterion</t>
  </si>
  <si>
    <t xml:space="preserve">App Store scraping</t>
  </si>
  <si>
    <t xml:space="preserve">app-store-scraper</t>
  </si>
  <si>
    <t xml:space="preserve">Same approach for iOS</t>
  </si>
</sst>
</file>

<file path=xl/styles.xml><?xml version="1.0" encoding="utf-8"?>
<styleSheet xmlns="http://schemas.openxmlformats.org/spreadsheetml/2006/main">
  <numFmts count="12">
    <numFmt numFmtId="164" formatCode="General"/>
    <numFmt numFmtId="165" formatCode="#,##0.0;\(#,##0.0\);\-"/>
    <numFmt numFmtId="166" formatCode="0.0;\(0.0\);\-"/>
    <numFmt numFmtId="167" formatCode="#,##0;\(#,##0\);\-"/>
    <numFmt numFmtId="168" formatCode="#,##0"/>
    <numFmt numFmtId="169" formatCode="#,##0.0"/>
    <numFmt numFmtId="170" formatCode="0.00\x"/>
    <numFmt numFmtId="171" formatCode="0.00;\(0.00\);\-"/>
    <numFmt numFmtId="172" formatCode="0.000"/>
    <numFmt numFmtId="173" formatCode="0"/>
    <numFmt numFmtId="174" formatCode="0.0"/>
    <numFmt numFmtId="175" formatCode="0.00"/>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color rgb="FF595959"/>
      <name val="Arial"/>
      <family val="0"/>
      <charset val="1"/>
    </font>
    <font>
      <b val="true"/>
      <sz val="10"/>
      <name val="Arial"/>
      <family val="0"/>
      <charset val="1"/>
    </font>
    <font>
      <sz val="10"/>
      <name val="Arial"/>
      <family val="0"/>
      <charset val="1"/>
    </font>
    <font>
      <b val="true"/>
      <sz val="11"/>
      <color rgb="FF2E74B5"/>
      <name val="Arial"/>
      <family val="0"/>
      <charset val="1"/>
    </font>
    <font>
      <sz val="9"/>
      <color rgb="FF595959"/>
      <name val="Arial"/>
      <family val="0"/>
      <charset val="1"/>
    </font>
    <font>
      <b val="true"/>
      <sz val="10"/>
      <color rgb="FFFFFFFF"/>
      <name val="Arial"/>
      <family val="0"/>
      <charset val="1"/>
    </font>
    <font>
      <sz val="10"/>
      <color rgb="FF0000FF"/>
      <name val="Arial"/>
      <family val="0"/>
      <charset val="1"/>
    </font>
    <font>
      <sz val="10"/>
      <color rgb="FF00800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EDF2F8"/>
        <bgColor rgb="FFFBF0E4"/>
      </patternFill>
    </fill>
    <fill>
      <patternFill patternType="solid">
        <fgColor rgb="FFFBF0E4"/>
        <bgColor rgb="FFEDF2F8"/>
      </patternFill>
    </fill>
    <fill>
      <patternFill patternType="solid">
        <fgColor rgb="FFFFFF00"/>
        <bgColor rgb="FFFFFF00"/>
      </patternFill>
    </fill>
  </fills>
  <borders count="2">
    <border diagonalUp="false" diagonalDown="false">
      <left/>
      <right/>
      <top/>
      <bottom/>
      <diagonal/>
    </border>
    <border diagonalUp="false" diagonalDown="false">
      <left style="thin">
        <color rgb="FFCFDAE8"/>
      </left>
      <right style="thin">
        <color rgb="FFCFDAE8"/>
      </right>
      <top style="thin">
        <color rgb="FFCFDAE8"/>
      </top>
      <bottom style="thin">
        <color rgb="FFCFDAE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left" vertical="center"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5" fontId="11" fillId="3" borderId="1"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6" fontId="7" fillId="3"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7" fontId="11" fillId="3"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8" fontId="7" fillId="3"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9" fontId="7" fillId="3"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71" fontId="11"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71" fontId="11" fillId="3" borderId="1" xfId="0" applyFont="true" applyBorder="true" applyAlignment="false" applyProtection="false">
      <alignment horizontal="general" vertical="bottom" textRotation="0" wrapText="false" indent="0" shrinkToFit="false"/>
      <protection locked="true" hidden="false"/>
    </xf>
    <xf numFmtId="171" fontId="7" fillId="3"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7" fontId="11" fillId="4"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72" fontId="11" fillId="0" borderId="1" xfId="0" applyFont="true" applyBorder="true" applyAlignment="false" applyProtection="false">
      <alignment horizontal="general" vertical="bottom" textRotation="0" wrapText="false" indent="0" shrinkToFit="false"/>
      <protection locked="true" hidden="false"/>
    </xf>
    <xf numFmtId="167" fontId="7" fillId="3" borderId="1" xfId="0" applyFont="true" applyBorder="true" applyAlignment="false" applyProtection="false">
      <alignment horizontal="general" vertical="bottom" textRotation="0" wrapText="false" indent="0" shrinkToFit="false"/>
      <protection locked="true" hidden="false"/>
    </xf>
    <xf numFmtId="172" fontId="11" fillId="3"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6" fontId="11" fillId="3"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73" fontId="7" fillId="3"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74" fontId="11" fillId="5" borderId="1" xfId="0" applyFont="true" applyBorder="true" applyAlignment="false" applyProtection="false">
      <alignment horizontal="general" vertical="bottom" textRotation="0" wrapText="false" indent="0" shrinkToFit="false"/>
      <protection locked="true" hidden="false"/>
    </xf>
    <xf numFmtId="166" fontId="12" fillId="3" borderId="1" xfId="0" applyFont="true" applyBorder="true" applyAlignment="false" applyProtection="false">
      <alignment horizontal="general" vertical="bottom" textRotation="0" wrapText="false" indent="0" shrinkToFit="false"/>
      <protection locked="true" hidden="false"/>
    </xf>
    <xf numFmtId="175" fontId="7" fillId="3" borderId="1" xfId="0" applyFont="true" applyBorder="true" applyAlignment="false" applyProtection="false">
      <alignment horizontal="general" vertical="bottom" textRotation="0" wrapText="fals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75" fontId="7" fillId="0" borderId="1" xfId="0" applyFont="true" applyBorder="true" applyAlignment="false" applyProtection="false">
      <alignment horizontal="general" vertical="bottom" textRotation="0" wrapText="false" indent="0" shrinkToFit="false"/>
      <protection locked="true" hidden="false"/>
    </xf>
    <xf numFmtId="174" fontId="7" fillId="0" borderId="1" xfId="0" applyFont="true" applyBorder="true" applyAlignment="false" applyProtection="false">
      <alignment horizontal="general" vertical="bottom" textRotation="0" wrapText="false" indent="0" shrinkToFit="false"/>
      <protection locked="true" hidden="false"/>
    </xf>
    <xf numFmtId="174" fontId="7" fillId="3" borderId="1" xfId="0" applyFont="true" applyBorder="true" applyAlignment="false" applyProtection="false">
      <alignment horizontal="general" vertical="bottom" textRotation="0" wrapText="false" indent="0" shrinkToFit="false"/>
      <protection locked="true" hidden="false"/>
    </xf>
    <xf numFmtId="164" fontId="10" fillId="2"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fgColor rgb="FFEDF2F8"/>
          <bgColor rgb="FF000000"/>
        </patternFill>
      </fill>
    </dxf>
    <dxf>
      <fill>
        <patternFill patternType="solid">
          <bgColor rgb="FF000000"/>
        </patternFill>
      </fill>
    </dxf>
    <dxf>
      <fill>
        <patternFill patternType="solid">
          <fgColor rgb="FFFFFFFF"/>
          <bgColor rgb="FF000000"/>
        </patternFill>
      </fill>
    </dxf>
    <dxf>
      <fill>
        <patternFill patternType="solid">
          <fgColor rgb="FFFBF0E4"/>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F0E4"/>
      <rgbColor rgb="FFEDF2F8"/>
      <rgbColor rgb="FF660066"/>
      <rgbColor rgb="FFFF8080"/>
      <rgbColor rgb="FF0066CC"/>
      <rgbColor rgb="FFCFDAE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4B5"/>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drawing" Target="../drawings/drawing3.xml"/>
</Relationships>
</file>

<file path=xl/worksheets/_rels/sheet11.xml.rels><?xml version="1.0" encoding="UTF-8"?>
<Relationships xmlns="http://schemas.openxmlformats.org/package/2006/relationships"><Relationship Id="rId1" Type="http://schemas.openxmlformats.org/officeDocument/2006/relationships/drawing" Target="../drawings/drawing4.xml"/>
</Relationships>
</file>

<file path=xl/worksheets/_rels/sheet12.xml.rels><?xml version="1.0" encoding="UTF-8"?>
<Relationships xmlns="http://schemas.openxmlformats.org/package/2006/relationships"><Relationship Id="rId1" Type="http://schemas.openxmlformats.org/officeDocument/2006/relationships/drawing" Target="../drawings/drawing5.xml"/>
</Relationships>
</file>

<file path=xl/worksheets/_rels/sheet13.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95"/>
  </cols>
  <sheetData>
    <row r="2" customFormat="false" ht="17.35" hidden="false" customHeight="false" outlineLevel="0" collapsed="false">
      <c r="B2" s="1" t="s">
        <v>0</v>
      </c>
    </row>
    <row r="3" customFormat="false" ht="15" hidden="false" customHeight="false" outlineLevel="0" collapsed="false">
      <c r="B3" s="2" t="s">
        <v>1</v>
      </c>
    </row>
    <row r="5" customFormat="false" ht="55.5" hidden="false" customHeight="true" outlineLevel="0" collapsed="false">
      <c r="B5" s="3" t="s">
        <v>2</v>
      </c>
      <c r="C5" s="4" t="s">
        <v>3</v>
      </c>
    </row>
    <row r="6" customFormat="false" ht="84" hidden="false" customHeight="true" outlineLevel="0" collapsed="false">
      <c r="B6" s="3" t="s">
        <v>4</v>
      </c>
      <c r="C6" s="4" t="s">
        <v>5</v>
      </c>
    </row>
    <row r="7" customFormat="false" ht="42" hidden="false" customHeight="true" outlineLevel="0" collapsed="false">
      <c r="B7" s="3" t="s">
        <v>6</v>
      </c>
      <c r="C7" s="4" t="s">
        <v>7</v>
      </c>
    </row>
    <row r="8" customFormat="false" ht="55.5" hidden="false" customHeight="true" outlineLevel="0" collapsed="false">
      <c r="B8" s="3" t="s">
        <v>8</v>
      </c>
      <c r="C8" s="4" t="s">
        <v>9</v>
      </c>
    </row>
    <row r="9" customFormat="false" ht="55.5" hidden="false" customHeight="true" outlineLevel="0" collapsed="false">
      <c r="B9" s="3" t="s">
        <v>10</v>
      </c>
      <c r="C9" s="4" t="s">
        <v>11</v>
      </c>
    </row>
    <row r="10" customFormat="false" ht="42" hidden="false" customHeight="true" outlineLevel="0" collapsed="false">
      <c r="B10" s="3" t="s">
        <v>12</v>
      </c>
      <c r="C10" s="4" t="s">
        <v>13</v>
      </c>
    </row>
    <row r="11" customFormat="false" ht="42" hidden="false" customHeight="true" outlineLevel="0" collapsed="false">
      <c r="B11" s="3" t="s">
        <v>14</v>
      </c>
      <c r="C11" s="4" t="s">
        <v>15</v>
      </c>
    </row>
    <row r="12" customFormat="false" ht="42" hidden="false" customHeight="true" outlineLevel="0" collapsed="false">
      <c r="B12" s="3" t="s">
        <v>16</v>
      </c>
      <c r="C12" s="4" t="s">
        <v>17</v>
      </c>
    </row>
    <row r="13" customFormat="false" ht="27.75" hidden="false" customHeight="true" outlineLevel="0" collapsed="false">
      <c r="B13" s="3" t="s">
        <v>18</v>
      </c>
      <c r="C13" s="4" t="s">
        <v>19</v>
      </c>
    </row>
    <row r="14" customFormat="false" ht="97.5" hidden="false" customHeight="true" outlineLevel="0" collapsed="false">
      <c r="B14" s="3" t="s">
        <v>20</v>
      </c>
      <c r="C14" s="4" t="s">
        <v>21</v>
      </c>
    </row>
    <row r="15" customFormat="false" ht="55.5" hidden="false" customHeight="true" outlineLevel="0" collapsed="false">
      <c r="B15" s="3" t="s">
        <v>22</v>
      </c>
      <c r="C15" s="4" t="s">
        <v>23</v>
      </c>
    </row>
    <row r="16" customFormat="false" ht="27.75" hidden="false" customHeight="true" outlineLevel="0" collapsed="false">
      <c r="B16" s="3" t="s">
        <v>24</v>
      </c>
      <c r="C16" s="4" t="s">
        <v>25</v>
      </c>
    </row>
    <row r="18" customFormat="false" ht="15" hidden="false" customHeight="false" outlineLevel="0" collapsed="false">
      <c r="B18" s="5" t="s">
        <v>26</v>
      </c>
    </row>
    <row r="19" customFormat="false" ht="15" hidden="false" customHeight="false" outlineLevel="0" collapsed="false">
      <c r="B19" s="6" t="s">
        <v>27</v>
      </c>
      <c r="C19" s="7" t="s">
        <v>28</v>
      </c>
    </row>
    <row r="20" customFormat="false" ht="15" hidden="false" customHeight="false" outlineLevel="0" collapsed="false">
      <c r="B20" s="6" t="s">
        <v>29</v>
      </c>
      <c r="C20" s="7" t="s">
        <v>30</v>
      </c>
    </row>
    <row r="21" customFormat="false" ht="15" hidden="false" customHeight="false" outlineLevel="0" collapsed="false">
      <c r="B21" s="6" t="s">
        <v>31</v>
      </c>
      <c r="C21" s="7" t="s">
        <v>32</v>
      </c>
    </row>
    <row r="22" customFormat="false" ht="15" hidden="false" customHeight="false" outlineLevel="0" collapsed="false">
      <c r="B22" s="6" t="s">
        <v>33</v>
      </c>
      <c r="C22" s="7" t="s">
        <v>34</v>
      </c>
    </row>
    <row r="23" customFormat="false" ht="15" hidden="false" customHeight="false" outlineLevel="0" collapsed="false">
      <c r="B23" s="6" t="s">
        <v>35</v>
      </c>
      <c r="C23" s="7" t="s">
        <v>36</v>
      </c>
    </row>
    <row r="24" customFormat="false" ht="15" hidden="false" customHeight="false" outlineLevel="0" collapsed="false">
      <c r="B24" s="6" t="s">
        <v>37</v>
      </c>
      <c r="C24" s="7" t="s">
        <v>38</v>
      </c>
    </row>
    <row r="25" customFormat="false" ht="15" hidden="false" customHeight="false" outlineLevel="0" collapsed="false">
      <c r="B25" s="6" t="s">
        <v>39</v>
      </c>
      <c r="C25" s="7" t="s">
        <v>40</v>
      </c>
    </row>
    <row r="26" customFormat="false" ht="15" hidden="false" customHeight="false" outlineLevel="0" collapsed="false">
      <c r="B26" s="6" t="s">
        <v>41</v>
      </c>
      <c r="C26" s="7" t="s">
        <v>42</v>
      </c>
    </row>
    <row r="27" customFormat="false" ht="15" hidden="false" customHeight="false" outlineLevel="0" collapsed="false">
      <c r="B27" s="6" t="s">
        <v>43</v>
      </c>
      <c r="C27" s="7" t="s">
        <v>44</v>
      </c>
    </row>
    <row r="28" customFormat="false" ht="15" hidden="false" customHeight="false" outlineLevel="0" collapsed="false">
      <c r="B28" s="6" t="s">
        <v>45</v>
      </c>
      <c r="C28" s="7" t="s">
        <v>46</v>
      </c>
    </row>
    <row r="29" customFormat="false" ht="15" hidden="false" customHeight="false" outlineLevel="0" collapsed="false">
      <c r="B29" s="6" t="s">
        <v>47</v>
      </c>
      <c r="C29" s="7" t="s">
        <v>48</v>
      </c>
    </row>
    <row r="30" customFormat="false" ht="15" hidden="false" customHeight="false" outlineLevel="0" collapsed="false">
      <c r="B30" s="6" t="s">
        <v>49</v>
      </c>
      <c r="C30" s="7" t="s">
        <v>50</v>
      </c>
    </row>
    <row r="31" customFormat="false" ht="15" hidden="false" customHeight="false" outlineLevel="0" collapsed="false">
      <c r="B31" s="6" t="s">
        <v>51</v>
      </c>
      <c r="C31" s="7" t="s">
        <v>52</v>
      </c>
    </row>
    <row r="33" customFormat="false" ht="15" hidden="false" customHeight="false" outlineLevel="0" collapsed="false">
      <c r="B33" s="5" t="s">
        <v>53</v>
      </c>
    </row>
    <row r="34" customFormat="false" ht="42" hidden="false" customHeight="true" outlineLevel="0" collapsed="false">
      <c r="C34" s="4" t="s">
        <v>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6" min="2" style="0" width="15"/>
    <col collapsed="false" customWidth="true" hidden="false" outlineLevel="0" max="7" min="7" style="0" width="46"/>
  </cols>
  <sheetData>
    <row r="1" customFormat="false" ht="17.35" hidden="false" customHeight="false" outlineLevel="0" collapsed="false">
      <c r="A1" s="1" t="s">
        <v>55</v>
      </c>
    </row>
    <row r="2" customFormat="false" ht="15" hidden="false" customHeight="false" outlineLevel="0" collapsed="false">
      <c r="A2" s="8" t="s">
        <v>56</v>
      </c>
    </row>
    <row r="4" customFormat="false" ht="30" hidden="false" customHeight="true" outlineLevel="0" collapsed="false">
      <c r="A4" s="9" t="s">
        <v>57</v>
      </c>
      <c r="B4" s="10" t="s">
        <v>58</v>
      </c>
      <c r="C4" s="10" t="s">
        <v>59</v>
      </c>
      <c r="D4" s="10" t="s">
        <v>60</v>
      </c>
      <c r="E4" s="10" t="s">
        <v>61</v>
      </c>
      <c r="F4" s="10" t="s">
        <v>62</v>
      </c>
      <c r="G4" s="10" t="s">
        <v>63</v>
      </c>
    </row>
    <row r="5" customFormat="false" ht="22.35" hidden="false" customHeight="false" outlineLevel="0" collapsed="false">
      <c r="A5" s="11" t="s">
        <v>64</v>
      </c>
      <c r="B5" s="12" t="n">
        <v>1467</v>
      </c>
      <c r="C5" s="12" t="n">
        <v>395</v>
      </c>
      <c r="D5" s="12" t="n">
        <v>453.1</v>
      </c>
      <c r="E5" s="12" t="n">
        <v>848.2</v>
      </c>
      <c r="F5" s="13" t="n">
        <f aca="false">IF(B5=0,"",E5/B5*100)</f>
        <v>57.8186775732788</v>
      </c>
      <c r="G5" s="14" t="s">
        <v>65</v>
      </c>
    </row>
    <row r="6" customFormat="false" ht="15" hidden="false" customHeight="false" outlineLevel="0" collapsed="false">
      <c r="A6" s="15" t="s">
        <v>66</v>
      </c>
      <c r="B6" s="16" t="n">
        <v>555.8</v>
      </c>
      <c r="C6" s="16" t="n">
        <v>147.5</v>
      </c>
      <c r="D6" s="16" t="n">
        <v>188.6</v>
      </c>
      <c r="E6" s="17" t="n">
        <f aca="false">C6+D6</f>
        <v>336.1</v>
      </c>
      <c r="F6" s="18" t="n">
        <f aca="false">IF(B6=0,"",E6/B6*100)</f>
        <v>60.4713925872616</v>
      </c>
      <c r="G6" s="19"/>
    </row>
    <row r="7" customFormat="false" ht="15" hidden="false" customHeight="false" outlineLevel="0" collapsed="false">
      <c r="A7" s="11" t="s">
        <v>67</v>
      </c>
      <c r="B7" s="12" t="n">
        <v>404</v>
      </c>
      <c r="C7" s="12" t="n">
        <v>119.5</v>
      </c>
      <c r="D7" s="12" t="n">
        <v>102.5</v>
      </c>
      <c r="E7" s="20" t="n">
        <f aca="false">C7+D7</f>
        <v>222</v>
      </c>
      <c r="F7" s="13" t="n">
        <f aca="false">IF(B7=0,"",E7/B7*100)</f>
        <v>54.950495049505</v>
      </c>
      <c r="G7" s="14" t="s">
        <v>68</v>
      </c>
    </row>
    <row r="8" customFormat="false" ht="15" hidden="false" customHeight="false" outlineLevel="0" collapsed="false">
      <c r="A8" s="15" t="s">
        <v>69</v>
      </c>
      <c r="B8" s="16" t="n">
        <v>171.4</v>
      </c>
      <c r="C8" s="16" t="n">
        <v>98.4</v>
      </c>
      <c r="D8" s="16" t="n">
        <v>95</v>
      </c>
      <c r="E8" s="17" t="n">
        <f aca="false">C8+D8</f>
        <v>193.4</v>
      </c>
      <c r="F8" s="18" t="n">
        <f aca="false">IF(B8=0,"",E8/B8*100)</f>
        <v>112.835472578763</v>
      </c>
      <c r="G8" s="19" t="s">
        <v>70</v>
      </c>
    </row>
    <row r="9" customFormat="false" ht="15" hidden="false" customHeight="false" outlineLevel="0" collapsed="false">
      <c r="A9" s="11" t="s">
        <v>71</v>
      </c>
      <c r="B9" s="12" t="n">
        <v>335.8</v>
      </c>
      <c r="C9" s="12" t="n">
        <v>29.6</v>
      </c>
      <c r="D9" s="12" t="n">
        <v>67</v>
      </c>
      <c r="E9" s="20" t="n">
        <f aca="false">C9+D9</f>
        <v>96.6</v>
      </c>
      <c r="F9" s="13" t="n">
        <f aca="false">IF(B9=0,"",E9/B9*100)</f>
        <v>28.7671232876712</v>
      </c>
      <c r="G9" s="14" t="s">
        <v>72</v>
      </c>
    </row>
    <row r="10" customFormat="false" ht="15" hidden="false" customHeight="false" outlineLevel="0" collapsed="false">
      <c r="A10" s="15" t="s">
        <v>73</v>
      </c>
      <c r="B10" s="16" t="n">
        <v>340.2</v>
      </c>
      <c r="C10" s="16" t="n">
        <v>14.2</v>
      </c>
      <c r="D10" s="16" t="n">
        <v>98.9</v>
      </c>
      <c r="E10" s="16" t="n">
        <v>113.1</v>
      </c>
      <c r="F10" s="18" t="n">
        <f aca="false">IF(B10=0,"",E10/B10*100)</f>
        <v>33.2451499118166</v>
      </c>
      <c r="G10" s="19"/>
    </row>
    <row r="11" customFormat="false" ht="15" hidden="false" customHeight="false" outlineLevel="0" collapsed="false">
      <c r="A11" s="11" t="s">
        <v>74</v>
      </c>
      <c r="B11" s="12" t="n">
        <v>272.5</v>
      </c>
      <c r="C11" s="12" t="n">
        <v>11.3</v>
      </c>
      <c r="D11" s="12" t="n">
        <v>83</v>
      </c>
      <c r="E11" s="12" t="n">
        <v>94.3</v>
      </c>
      <c r="F11" s="13" t="n">
        <f aca="false">IF(B11=0,"",E11/B11*100)</f>
        <v>34.605504587156</v>
      </c>
      <c r="G11" s="14"/>
    </row>
    <row r="12" customFormat="false" ht="22.35" hidden="false" customHeight="false" outlineLevel="0" collapsed="false">
      <c r="A12" s="15" t="s">
        <v>75</v>
      </c>
      <c r="B12" s="21" t="n">
        <v>5832</v>
      </c>
      <c r="C12" s="21" t="n">
        <v>5910</v>
      </c>
      <c r="D12" s="21" t="n">
        <v>6303</v>
      </c>
      <c r="E12" s="21" t="n">
        <v>6303</v>
      </c>
      <c r="F12" s="18" t="n">
        <f aca="false">IF(B12=0,"",E12/B12*100)</f>
        <v>108.076131687243</v>
      </c>
      <c r="G12" s="19" t="s">
        <v>76</v>
      </c>
    </row>
    <row r="14" customFormat="false" ht="15" hidden="false" customHeight="false" outlineLevel="0" collapsed="false">
      <c r="A14" s="5" t="s">
        <v>77</v>
      </c>
    </row>
    <row r="15" customFormat="false" ht="30" hidden="false" customHeight="true" outlineLevel="0" collapsed="false">
      <c r="A15" s="9" t="s">
        <v>78</v>
      </c>
      <c r="B15" s="10" t="s">
        <v>58</v>
      </c>
      <c r="C15" s="10" t="s">
        <v>59</v>
      </c>
      <c r="D15" s="10" t="s">
        <v>60</v>
      </c>
      <c r="E15" s="10" t="s">
        <v>61</v>
      </c>
      <c r="F15" s="10"/>
      <c r="G15" s="10" t="s">
        <v>63</v>
      </c>
    </row>
    <row r="16" customFormat="false" ht="15" hidden="false" customHeight="false" outlineLevel="0" collapsed="false">
      <c r="A16" s="11" t="s">
        <v>79</v>
      </c>
      <c r="B16" s="13" t="n">
        <f aca="false">B10/B5*100</f>
        <v>23.1901840490798</v>
      </c>
      <c r="C16" s="13" t="n">
        <f aca="false">C10/C5*100</f>
        <v>3.59493670886076</v>
      </c>
      <c r="D16" s="13" t="n">
        <f aca="false">D10/D5*100</f>
        <v>21.8274111675127</v>
      </c>
      <c r="E16" s="13" t="n">
        <f aca="false">E10/E5*100</f>
        <v>13.3341193114831</v>
      </c>
      <c r="G16" s="14" t="s">
        <v>80</v>
      </c>
    </row>
    <row r="17" customFormat="false" ht="15" hidden="false" customHeight="false" outlineLevel="0" collapsed="false">
      <c r="A17" s="22" t="s">
        <v>81</v>
      </c>
      <c r="B17" s="13" t="n">
        <f aca="false">B6/B5*100</f>
        <v>37.8868438991138</v>
      </c>
      <c r="C17" s="13" t="n">
        <f aca="false">C6/C5*100</f>
        <v>37.3417721518987</v>
      </c>
      <c r="D17" s="13" t="n">
        <f aca="false">D6/D5*100</f>
        <v>41.6243654822335</v>
      </c>
      <c r="E17" s="13" t="n">
        <f aca="false">E6/E5*100</f>
        <v>39.6250884225419</v>
      </c>
    </row>
    <row r="18" customFormat="false" ht="15" hidden="false" customHeight="false" outlineLevel="0" collapsed="false">
      <c r="A18" s="22" t="s">
        <v>82</v>
      </c>
      <c r="B18" s="13" t="n">
        <f aca="false">B7/B5*100</f>
        <v>27.5391956373551</v>
      </c>
      <c r="C18" s="13" t="n">
        <f aca="false">C7/C5*100</f>
        <v>30.253164556962</v>
      </c>
      <c r="D18" s="13" t="n">
        <f aca="false">D7/D5*100</f>
        <v>22.6219377620834</v>
      </c>
      <c r="E18" s="13" t="n">
        <f aca="false">E7/E5*100</f>
        <v>26.1730723885876</v>
      </c>
    </row>
    <row r="19" customFormat="false" ht="15" hidden="false" customHeight="false" outlineLevel="0" collapsed="false">
      <c r="A19" s="22" t="s">
        <v>83</v>
      </c>
      <c r="B19" s="13" t="n">
        <f aca="false">B8/B5*100</f>
        <v>11.6837082481254</v>
      </c>
      <c r="C19" s="13" t="n">
        <f aca="false">C8/C5*100</f>
        <v>24.9113924050633</v>
      </c>
      <c r="D19" s="13" t="n">
        <f aca="false">D8/D5*100</f>
        <v>20.9666740233944</v>
      </c>
      <c r="E19" s="13" t="n">
        <f aca="false">E8/E5*100</f>
        <v>22.8012261259137</v>
      </c>
    </row>
    <row r="21" customFormat="false" ht="15" hidden="false" customHeight="false" outlineLevel="0" collapsed="false">
      <c r="A21" s="5" t="s">
        <v>84</v>
      </c>
    </row>
    <row r="22" customFormat="false" ht="30" hidden="false" customHeight="true" outlineLevel="0" collapsed="false">
      <c r="A22" s="9" t="s">
        <v>85</v>
      </c>
      <c r="B22" s="10" t="s">
        <v>86</v>
      </c>
      <c r="C22" s="10" t="s">
        <v>87</v>
      </c>
      <c r="D22" s="10"/>
      <c r="E22" s="10"/>
      <c r="F22" s="10"/>
      <c r="G22" s="10" t="s">
        <v>88</v>
      </c>
    </row>
    <row r="23" customFormat="false" ht="15" hidden="false" customHeight="false" outlineLevel="0" collapsed="false">
      <c r="A23" s="23" t="s">
        <v>89</v>
      </c>
      <c r="B23" s="21" t="n">
        <v>1500000</v>
      </c>
      <c r="C23" s="23" t="s">
        <v>90</v>
      </c>
      <c r="D23" s="23"/>
      <c r="E23" s="23"/>
      <c r="F23" s="23"/>
      <c r="G23" s="19" t="s">
        <v>91</v>
      </c>
    </row>
    <row r="24" customFormat="false" ht="15" hidden="false" customHeight="false" outlineLevel="0" collapsed="false">
      <c r="A24" s="22" t="s">
        <v>92</v>
      </c>
      <c r="B24" s="24" t="n">
        <v>1650000</v>
      </c>
      <c r="C24" s="22" t="s">
        <v>90</v>
      </c>
      <c r="D24" s="22"/>
      <c r="E24" s="22"/>
      <c r="F24" s="22"/>
      <c r="G24" s="14" t="s">
        <v>93</v>
      </c>
    </row>
    <row r="25" customFormat="false" ht="15" hidden="false" customHeight="false" outlineLevel="0" collapsed="false">
      <c r="A25" s="23" t="s">
        <v>94</v>
      </c>
      <c r="B25" s="21" t="n">
        <v>1700000</v>
      </c>
      <c r="C25" s="23" t="s">
        <v>90</v>
      </c>
      <c r="D25" s="23"/>
      <c r="E25" s="23"/>
      <c r="F25" s="23"/>
      <c r="G25" s="19" t="s">
        <v>95</v>
      </c>
    </row>
    <row r="26" customFormat="false" ht="15" hidden="false" customHeight="false" outlineLevel="0" collapsed="false">
      <c r="A26" s="22" t="s">
        <v>96</v>
      </c>
      <c r="B26" s="12" t="n">
        <v>20</v>
      </c>
      <c r="C26" s="22" t="s">
        <v>97</v>
      </c>
      <c r="D26" s="22"/>
      <c r="E26" s="22"/>
      <c r="F26" s="22"/>
      <c r="G26" s="14" t="s">
        <v>91</v>
      </c>
    </row>
    <row r="27" customFormat="false" ht="15" hidden="false" customHeight="false" outlineLevel="0" collapsed="false">
      <c r="A27" s="23" t="s">
        <v>98</v>
      </c>
      <c r="B27" s="16" t="n">
        <v>18</v>
      </c>
      <c r="C27" s="23" t="s">
        <v>97</v>
      </c>
      <c r="D27" s="23"/>
      <c r="E27" s="23"/>
      <c r="F27" s="23"/>
      <c r="G27" s="19" t="s">
        <v>99</v>
      </c>
    </row>
    <row r="28" customFormat="false" ht="15" hidden="false" customHeight="false" outlineLevel="0" collapsed="false">
      <c r="A28" s="22" t="s">
        <v>100</v>
      </c>
      <c r="B28" s="12" t="n">
        <v>1736</v>
      </c>
      <c r="C28" s="22" t="s">
        <v>101</v>
      </c>
      <c r="D28" s="22"/>
      <c r="E28" s="22"/>
      <c r="F28" s="22"/>
      <c r="G28" s="14" t="s">
        <v>102</v>
      </c>
    </row>
    <row r="29" customFormat="false" ht="15" hidden="false" customHeight="false" outlineLevel="0" collapsed="false">
      <c r="A29" s="23" t="s">
        <v>103</v>
      </c>
      <c r="B29" s="16" t="n">
        <v>550</v>
      </c>
      <c r="C29" s="23" t="s">
        <v>101</v>
      </c>
      <c r="D29" s="23"/>
      <c r="E29" s="23"/>
      <c r="F29" s="23"/>
      <c r="G29" s="19" t="s">
        <v>102</v>
      </c>
    </row>
    <row r="30" customFormat="false" ht="15" hidden="false" customHeight="false" outlineLevel="0" collapsed="false">
      <c r="A30" s="22" t="s">
        <v>104</v>
      </c>
      <c r="B30" s="12" t="n">
        <v>4286</v>
      </c>
      <c r="C30" s="22" t="s">
        <v>101</v>
      </c>
      <c r="D30" s="22"/>
      <c r="E30" s="22"/>
      <c r="F30" s="22"/>
      <c r="G30" s="14" t="s">
        <v>105</v>
      </c>
    </row>
    <row r="31" customFormat="false" ht="15" hidden="false" customHeight="false" outlineLevel="0" collapsed="false">
      <c r="A31" s="23" t="s">
        <v>106</v>
      </c>
      <c r="B31" s="16" t="n">
        <v>52000</v>
      </c>
      <c r="C31" s="23" t="s">
        <v>101</v>
      </c>
      <c r="D31" s="23"/>
      <c r="E31" s="23"/>
      <c r="F31" s="23"/>
      <c r="G31" s="19" t="s">
        <v>107</v>
      </c>
    </row>
    <row r="33" customFormat="false" ht="15" hidden="false" customHeight="false" outlineLevel="0" collapsed="false">
      <c r="A33" s="5" t="s">
        <v>108</v>
      </c>
    </row>
    <row r="34" customFormat="false" ht="30" hidden="false" customHeight="true" outlineLevel="0" collapsed="false">
      <c r="A34" s="9" t="s">
        <v>109</v>
      </c>
      <c r="B34" s="10" t="s">
        <v>86</v>
      </c>
      <c r="C34" s="10"/>
      <c r="D34" s="10"/>
      <c r="E34" s="10"/>
      <c r="F34" s="10"/>
      <c r="G34" s="10" t="s">
        <v>110</v>
      </c>
    </row>
    <row r="35" customFormat="false" ht="15" hidden="false" customHeight="false" outlineLevel="0" collapsed="false">
      <c r="A35" s="15" t="s">
        <v>111</v>
      </c>
      <c r="B35" s="25" t="n">
        <f aca="false">E5*1000000/B25</f>
        <v>498.941176470588</v>
      </c>
      <c r="C35" s="23"/>
      <c r="D35" s="23"/>
      <c r="E35" s="23"/>
      <c r="F35" s="23"/>
      <c r="G35" s="19" t="s">
        <v>112</v>
      </c>
    </row>
    <row r="36" customFormat="false" ht="15" hidden="false" customHeight="false" outlineLevel="0" collapsed="false">
      <c r="A36" s="11" t="s">
        <v>113</v>
      </c>
      <c r="B36" s="26" t="n">
        <f aca="false">E7*1000000/B25</f>
        <v>130.588235294118</v>
      </c>
      <c r="C36" s="22"/>
      <c r="D36" s="22"/>
      <c r="E36" s="22"/>
      <c r="F36" s="22"/>
      <c r="G36" s="14" t="s">
        <v>114</v>
      </c>
    </row>
    <row r="37" customFormat="false" ht="15" hidden="false" customHeight="false" outlineLevel="0" collapsed="false">
      <c r="A37" s="15" t="s">
        <v>115</v>
      </c>
      <c r="B37" s="27" t="n">
        <f aca="false">B31*1000/B23</f>
        <v>34.6666666666667</v>
      </c>
      <c r="C37" s="23"/>
      <c r="D37" s="23"/>
      <c r="E37" s="23"/>
      <c r="F37" s="23"/>
      <c r="G37" s="19" t="s">
        <v>116</v>
      </c>
    </row>
    <row r="38" customFormat="false" ht="22.35" hidden="false" customHeight="false" outlineLevel="0" collapsed="false">
      <c r="A38" s="11" t="s">
        <v>117</v>
      </c>
      <c r="B38" s="13" t="n">
        <f aca="false">E6/((C12+D12)/2)*2*100</f>
        <v>11.0079423565054</v>
      </c>
      <c r="C38" s="22"/>
      <c r="D38" s="22"/>
      <c r="E38" s="22"/>
      <c r="F38" s="22"/>
      <c r="G38" s="14" t="s">
        <v>118</v>
      </c>
    </row>
    <row r="39" customFormat="false" ht="15" hidden="false" customHeight="false" outlineLevel="0" collapsed="false">
      <c r="A39" s="15" t="s">
        <v>119</v>
      </c>
      <c r="B39" s="18" t="n">
        <f aca="false">E5/B28*100</f>
        <v>48.8594470046083</v>
      </c>
      <c r="C39" s="23"/>
      <c r="D39" s="23"/>
      <c r="E39" s="23"/>
      <c r="F39" s="23"/>
      <c r="G39" s="19" t="s">
        <v>120</v>
      </c>
    </row>
    <row r="40" customFormat="false" ht="15" hidden="false" customHeight="false" outlineLevel="0" collapsed="false">
      <c r="A40" s="11" t="s">
        <v>121</v>
      </c>
      <c r="B40" s="13" t="n">
        <f aca="false">E10/B29*100</f>
        <v>20.5636363636364</v>
      </c>
      <c r="C40" s="22"/>
      <c r="D40" s="22"/>
      <c r="E40" s="22"/>
      <c r="F40" s="22"/>
      <c r="G40" s="14" t="s">
        <v>120</v>
      </c>
    </row>
    <row r="41" customFormat="false" ht="15" hidden="false" customHeight="false" outlineLevel="0" collapsed="false">
      <c r="A41" s="15" t="s">
        <v>122</v>
      </c>
      <c r="B41" s="17" t="n">
        <f aca="false">B29-E10</f>
        <v>436.9</v>
      </c>
      <c r="C41" s="23"/>
      <c r="D41" s="23"/>
      <c r="E41" s="23"/>
      <c r="F41" s="23"/>
      <c r="G41" s="19" t="s">
        <v>123</v>
      </c>
    </row>
    <row r="42" customFormat="false" ht="15" hidden="false" customHeight="false" outlineLevel="0" collapsed="false">
      <c r="A42" s="11" t="s">
        <v>124</v>
      </c>
      <c r="B42" s="28" t="n">
        <f aca="false">(B29-E10)/E10</f>
        <v>3.86295313881521</v>
      </c>
      <c r="C42" s="22"/>
      <c r="D42" s="22"/>
      <c r="E42" s="22"/>
      <c r="F42" s="22"/>
      <c r="G42"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6" min="2" style="0" width="16"/>
    <col collapsed="false" customWidth="true" hidden="false" outlineLevel="0" max="7" min="7" style="0" width="40"/>
  </cols>
  <sheetData>
    <row r="1" customFormat="false" ht="17.35" hidden="false" customHeight="false" outlineLevel="0" collapsed="false">
      <c r="A1" s="1" t="s">
        <v>125</v>
      </c>
    </row>
    <row r="2" customFormat="false" ht="15" hidden="false" customHeight="false" outlineLevel="0" collapsed="false">
      <c r="A2" s="8" t="s">
        <v>126</v>
      </c>
    </row>
    <row r="4" customFormat="false" ht="30" hidden="false" customHeight="true" outlineLevel="0" collapsed="false">
      <c r="A4" s="9" t="s">
        <v>127</v>
      </c>
      <c r="B4" s="10" t="s">
        <v>128</v>
      </c>
      <c r="C4" s="10" t="s">
        <v>129</v>
      </c>
      <c r="D4" s="10" t="s">
        <v>130</v>
      </c>
      <c r="E4" s="10" t="s">
        <v>131</v>
      </c>
      <c r="F4" s="10" t="s">
        <v>132</v>
      </c>
      <c r="G4" s="10" t="s">
        <v>63</v>
      </c>
    </row>
    <row r="5" customFormat="false" ht="22.35" hidden="false" customHeight="false" outlineLevel="0" collapsed="false">
      <c r="A5" s="11" t="s">
        <v>133</v>
      </c>
      <c r="B5" s="29" t="n">
        <v>12.61</v>
      </c>
      <c r="C5" s="29" t="n">
        <v>15.32</v>
      </c>
      <c r="D5" s="30" t="n">
        <f aca="false">IF(OR(B5="",C5=""),"",B5-C5)</f>
        <v>-2.71</v>
      </c>
      <c r="E5" s="29" t="n">
        <v>17.71</v>
      </c>
      <c r="F5" s="29" t="n">
        <v>33.84</v>
      </c>
      <c r="G5" s="14" t="s">
        <v>134</v>
      </c>
    </row>
    <row r="6" customFormat="false" ht="15" hidden="false" customHeight="false" outlineLevel="0" collapsed="false">
      <c r="A6" s="15" t="s">
        <v>135</v>
      </c>
      <c r="B6" s="31" t="n">
        <v>11.17</v>
      </c>
      <c r="C6" s="31" t="n">
        <v>11.14</v>
      </c>
      <c r="D6" s="32" t="n">
        <f aca="false">IF(OR(B6="",C6=""),"",B6-C6)</f>
        <v>0.0299999999999994</v>
      </c>
      <c r="E6" s="31"/>
      <c r="F6" s="31" t="n">
        <v>8.21</v>
      </c>
      <c r="G6" s="19"/>
    </row>
    <row r="7" customFormat="false" ht="15" hidden="false" customHeight="false" outlineLevel="0" collapsed="false">
      <c r="A7" s="11" t="s">
        <v>136</v>
      </c>
      <c r="B7" s="29" t="n">
        <v>9.36</v>
      </c>
      <c r="C7" s="29" t="n">
        <v>8.85</v>
      </c>
      <c r="D7" s="30" t="n">
        <f aca="false">IF(OR(B7="",C7=""),"",B7-C7)</f>
        <v>0.51</v>
      </c>
      <c r="E7" s="29" t="n">
        <v>9</v>
      </c>
      <c r="F7" s="29"/>
      <c r="G7" s="14" t="s">
        <v>137</v>
      </c>
    </row>
    <row r="8" customFormat="false" ht="15" hidden="false" customHeight="false" outlineLevel="0" collapsed="false">
      <c r="A8" s="15" t="s">
        <v>138</v>
      </c>
      <c r="B8" s="31" t="n">
        <v>7</v>
      </c>
      <c r="C8" s="31" t="n">
        <v>7.35</v>
      </c>
      <c r="D8" s="32" t="n">
        <f aca="false">IF(OR(B8="",C8=""),"",B8-C8)</f>
        <v>-0.35</v>
      </c>
      <c r="E8" s="31" t="n">
        <v>2.86</v>
      </c>
      <c r="F8" s="31"/>
      <c r="G8" s="19"/>
    </row>
    <row r="9" customFormat="false" ht="15" hidden="false" customHeight="false" outlineLevel="0" collapsed="false">
      <c r="A9" s="11" t="s">
        <v>139</v>
      </c>
      <c r="B9" s="29" t="n">
        <v>6.8</v>
      </c>
      <c r="C9" s="29" t="n">
        <v>7.3</v>
      </c>
      <c r="D9" s="30" t="n">
        <f aca="false">IF(OR(B9="",C9=""),"",B9-C9)</f>
        <v>-0.5</v>
      </c>
      <c r="E9" s="29"/>
      <c r="F9" s="29"/>
      <c r="G9" s="14"/>
    </row>
    <row r="10" customFormat="false" ht="15" hidden="false" customHeight="false" outlineLevel="0" collapsed="false">
      <c r="A10" s="15" t="s">
        <v>140</v>
      </c>
      <c r="B10" s="31" t="n">
        <v>4.79</v>
      </c>
      <c r="C10" s="31" t="n">
        <v>5.29</v>
      </c>
      <c r="D10" s="32" t="n">
        <f aca="false">IF(OR(B10="",C10=""),"",B10-C10)</f>
        <v>-0.5</v>
      </c>
      <c r="E10" s="31"/>
      <c r="F10" s="31"/>
      <c r="G10" s="19"/>
    </row>
    <row r="11" customFormat="false" ht="15" hidden="false" customHeight="false" outlineLevel="0" collapsed="false">
      <c r="A11" s="11" t="s">
        <v>141</v>
      </c>
      <c r="B11" s="29" t="n">
        <v>3.96</v>
      </c>
      <c r="C11" s="29" t="n">
        <v>4.78</v>
      </c>
      <c r="D11" s="30" t="n">
        <f aca="false">IF(OR(B11="",C11=""),"",B11-C11)</f>
        <v>-0.82</v>
      </c>
      <c r="E11" s="29"/>
      <c r="F11" s="29"/>
      <c r="G11" s="14"/>
    </row>
    <row r="12" customFormat="false" ht="15" hidden="false" customHeight="false" outlineLevel="0" collapsed="false">
      <c r="A12" s="15" t="s">
        <v>142</v>
      </c>
      <c r="B12" s="31" t="n">
        <v>3.57</v>
      </c>
      <c r="C12" s="31" t="n">
        <v>2.94</v>
      </c>
      <c r="D12" s="32" t="n">
        <f aca="false">IF(OR(B12="",C12=""),"",B12-C12)</f>
        <v>0.63</v>
      </c>
      <c r="E12" s="31" t="n">
        <v>6.71</v>
      </c>
      <c r="F12" s="31"/>
      <c r="G12" s="19" t="s">
        <v>143</v>
      </c>
    </row>
    <row r="13" customFormat="false" ht="15" hidden="false" customHeight="false" outlineLevel="0" collapsed="false">
      <c r="A13" s="11" t="s">
        <v>144</v>
      </c>
      <c r="B13" s="29" t="n">
        <v>2.99</v>
      </c>
      <c r="C13" s="29" t="n">
        <v>3.21</v>
      </c>
      <c r="D13" s="30" t="n">
        <f aca="false">IF(OR(B13="",C13=""),"",B13-C13)</f>
        <v>-0.22</v>
      </c>
      <c r="E13" s="29"/>
      <c r="F13" s="29"/>
      <c r="G13" s="14"/>
    </row>
    <row r="14" customFormat="false" ht="15" hidden="false" customHeight="false" outlineLevel="0" collapsed="false">
      <c r="A14" s="15" t="s">
        <v>145</v>
      </c>
      <c r="B14" s="31" t="n">
        <v>2.94</v>
      </c>
      <c r="C14" s="31" t="n">
        <v>2.82</v>
      </c>
      <c r="D14" s="32" t="n">
        <f aca="false">IF(OR(B14="",C14=""),"",B14-C14)</f>
        <v>0.12</v>
      </c>
      <c r="E14" s="31"/>
      <c r="F14" s="31"/>
      <c r="G14" s="19"/>
    </row>
    <row r="15" customFormat="false" ht="15" hidden="false" customHeight="false" outlineLevel="0" collapsed="false">
      <c r="A15" s="11" t="s">
        <v>146</v>
      </c>
      <c r="B15" s="22" t="s">
        <v>147</v>
      </c>
      <c r="C15" s="22"/>
      <c r="D15" s="22"/>
      <c r="E15" s="29" t="n">
        <v>3.58</v>
      </c>
      <c r="F15" s="29"/>
      <c r="G15" s="14"/>
    </row>
    <row r="16" customFormat="false" ht="22.35" hidden="false" customHeight="false" outlineLevel="0" collapsed="false">
      <c r="A16" s="15" t="s">
        <v>148</v>
      </c>
      <c r="B16" s="23" t="s">
        <v>147</v>
      </c>
      <c r="C16" s="23"/>
      <c r="D16" s="23"/>
      <c r="E16" s="31" t="n">
        <v>2.88</v>
      </c>
      <c r="F16" s="31" t="n">
        <v>25.38</v>
      </c>
      <c r="G16" s="19" t="s">
        <v>149</v>
      </c>
    </row>
    <row r="17" customFormat="false" ht="15" hidden="false" customHeight="false" outlineLevel="0" collapsed="false">
      <c r="A17" s="11" t="s">
        <v>150</v>
      </c>
      <c r="B17" s="22" t="s">
        <v>147</v>
      </c>
      <c r="C17" s="22"/>
      <c r="D17" s="22"/>
      <c r="E17" s="29" t="n">
        <v>2.66</v>
      </c>
      <c r="F17" s="29"/>
      <c r="G17" s="14"/>
    </row>
    <row r="18" customFormat="false" ht="22.35" hidden="false" customHeight="false" outlineLevel="0" collapsed="false">
      <c r="A18" s="11" t="s">
        <v>151</v>
      </c>
      <c r="B18" s="30" t="n">
        <f aca="false">SUM(B5:B17)</f>
        <v>65.19</v>
      </c>
      <c r="C18" s="30" t="n">
        <f aca="false">SUM(C5:C17)</f>
        <v>69</v>
      </c>
      <c r="D18" s="22"/>
      <c r="E18" s="30" t="n">
        <f aca="false">SUM(E5:E17)</f>
        <v>45.4</v>
      </c>
      <c r="F18" s="30" t="n">
        <f aca="false">SUM(F5:F17)</f>
        <v>67.43</v>
      </c>
      <c r="G18" s="14" t="s">
        <v>152</v>
      </c>
    </row>
    <row r="19" customFormat="false" ht="22.35" hidden="false" customHeight="false" outlineLevel="0" collapsed="false">
      <c r="A19" s="11" t="s">
        <v>153</v>
      </c>
      <c r="B19" s="29" t="n">
        <v>65.19</v>
      </c>
      <c r="C19" s="29" t="n">
        <v>69.05</v>
      </c>
      <c r="D19" s="22"/>
      <c r="E19" s="29" t="n">
        <v>63.2</v>
      </c>
      <c r="F19" s="29" t="n">
        <v>94.52</v>
      </c>
      <c r="G19" s="14" t="s">
        <v>154</v>
      </c>
    </row>
    <row r="22" customFormat="false" ht="15" hidden="false" customHeight="false" outlineLevel="0" collapsed="false">
      <c r="A22" s="5" t="s">
        <v>155</v>
      </c>
    </row>
    <row r="23" customFormat="false" ht="30" hidden="false" customHeight="true" outlineLevel="0" collapsed="false">
      <c r="A23" s="9" t="s">
        <v>156</v>
      </c>
      <c r="B23" s="10" t="s">
        <v>157</v>
      </c>
      <c r="C23" s="10" t="s">
        <v>158</v>
      </c>
      <c r="D23" s="10"/>
      <c r="E23" s="10"/>
      <c r="F23" s="10"/>
      <c r="G23" s="10" t="s">
        <v>159</v>
      </c>
    </row>
    <row r="24" customFormat="false" ht="15" hidden="false" customHeight="false" outlineLevel="0" collapsed="false">
      <c r="A24" s="23" t="s">
        <v>160</v>
      </c>
      <c r="B24" s="31" t="n">
        <v>4.01</v>
      </c>
      <c r="C24" s="32"/>
      <c r="D24" s="23"/>
      <c r="E24" s="23"/>
      <c r="F24" s="23"/>
      <c r="G24" s="33" t="s">
        <v>161</v>
      </c>
    </row>
    <row r="25" customFormat="false" ht="15" hidden="false" customHeight="false" outlineLevel="0" collapsed="false">
      <c r="A25" s="22" t="s">
        <v>162</v>
      </c>
      <c r="B25" s="29" t="n">
        <v>16.7</v>
      </c>
      <c r="C25" s="30" t="n">
        <f aca="false">B25-B24</f>
        <v>12.69</v>
      </c>
      <c r="D25" s="22"/>
      <c r="E25" s="22"/>
      <c r="F25" s="22"/>
      <c r="G25" s="34" t="s">
        <v>161</v>
      </c>
    </row>
    <row r="26" customFormat="false" ht="15" hidden="false" customHeight="false" outlineLevel="0" collapsed="false">
      <c r="A26" s="23" t="s">
        <v>163</v>
      </c>
      <c r="B26" s="31" t="n">
        <v>17.33</v>
      </c>
      <c r="C26" s="32" t="n">
        <f aca="false">B26-B25</f>
        <v>0.629999999999999</v>
      </c>
      <c r="D26" s="23"/>
      <c r="E26" s="23"/>
      <c r="F26" s="23"/>
      <c r="G26" s="33" t="s">
        <v>161</v>
      </c>
    </row>
    <row r="27" customFormat="false" ht="15" hidden="false" customHeight="false" outlineLevel="0" collapsed="false">
      <c r="A27" s="22" t="s">
        <v>164</v>
      </c>
      <c r="B27" s="29" t="n">
        <v>23.67</v>
      </c>
      <c r="C27" s="30" t="n">
        <f aca="false">B27-B26</f>
        <v>6.34</v>
      </c>
      <c r="D27" s="22"/>
      <c r="E27" s="22"/>
      <c r="F27" s="22"/>
      <c r="G27" s="34" t="s">
        <v>161</v>
      </c>
    </row>
    <row r="28" customFormat="false" ht="15" hidden="false" customHeight="false" outlineLevel="0" collapsed="false">
      <c r="A28" s="23" t="s">
        <v>165</v>
      </c>
      <c r="B28" s="31" t="n">
        <v>24.26</v>
      </c>
      <c r="C28" s="32" t="n">
        <f aca="false">B28-B27</f>
        <v>0.59</v>
      </c>
      <c r="D28" s="23"/>
      <c r="E28" s="23"/>
      <c r="F28" s="23"/>
      <c r="G28" s="33" t="s">
        <v>161</v>
      </c>
    </row>
    <row r="29" customFormat="false" ht="15" hidden="false" customHeight="false" outlineLevel="0" collapsed="false">
      <c r="A29" s="22" t="s">
        <v>59</v>
      </c>
      <c r="B29" s="29" t="n">
        <v>25.5</v>
      </c>
      <c r="C29" s="30" t="n">
        <f aca="false">B29-B28</f>
        <v>1.24</v>
      </c>
      <c r="D29" s="22"/>
      <c r="E29" s="22"/>
      <c r="F29" s="22"/>
      <c r="G29" s="34" t="s">
        <v>161</v>
      </c>
    </row>
    <row r="30" customFormat="false" ht="15" hidden="false" customHeight="false" outlineLevel="0" collapsed="false">
      <c r="A30" s="23" t="s">
        <v>60</v>
      </c>
      <c r="B30" s="31" t="n">
        <v>25.38</v>
      </c>
      <c r="C30" s="32" t="n">
        <f aca="false">B30-B29</f>
        <v>-0.120000000000001</v>
      </c>
      <c r="D30" s="23"/>
      <c r="E30" s="23"/>
      <c r="F30" s="23"/>
      <c r="G30" s="33" t="s">
        <v>161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20"/>
    <col collapsed="false" customWidth="true" hidden="false" outlineLevel="0" max="6" min="6" style="0" width="44"/>
  </cols>
  <sheetData>
    <row r="1" customFormat="false" ht="17.35" hidden="false" customHeight="false" outlineLevel="0" collapsed="false">
      <c r="A1" s="1" t="s">
        <v>166</v>
      </c>
    </row>
    <row r="2" customFormat="false" ht="15" hidden="false" customHeight="false" outlineLevel="0" collapsed="false">
      <c r="A2" s="8" t="s">
        <v>167</v>
      </c>
    </row>
    <row r="4" customFormat="false" ht="30" hidden="false" customHeight="true" outlineLevel="0" collapsed="false">
      <c r="A4" s="9" t="s">
        <v>127</v>
      </c>
      <c r="B4" s="10" t="s">
        <v>168</v>
      </c>
      <c r="C4" s="10" t="s">
        <v>169</v>
      </c>
      <c r="D4" s="10" t="s">
        <v>170</v>
      </c>
      <c r="E4" s="10" t="s">
        <v>171</v>
      </c>
      <c r="F4" s="10" t="s">
        <v>63</v>
      </c>
    </row>
    <row r="5" customFormat="false" ht="15" hidden="false" customHeight="false" outlineLevel="0" collapsed="false">
      <c r="A5" s="15" t="s">
        <v>136</v>
      </c>
      <c r="B5" s="21" t="n">
        <v>51500</v>
      </c>
      <c r="C5" s="32" t="n">
        <f aca="false">IF(B5="","",B5/$B$14*100)</f>
        <v>11.3486117232261</v>
      </c>
      <c r="D5" s="16" t="n">
        <v>2097</v>
      </c>
      <c r="E5" s="31" t="n">
        <v>9.36</v>
      </c>
      <c r="F5" s="19" t="s">
        <v>172</v>
      </c>
    </row>
    <row r="6" customFormat="false" ht="15" hidden="false" customHeight="false" outlineLevel="0" collapsed="false">
      <c r="A6" s="11" t="s">
        <v>135</v>
      </c>
      <c r="B6" s="24" t="n">
        <v>40500</v>
      </c>
      <c r="C6" s="30" t="n">
        <f aca="false">IF(B6="","",B6/$B$14*100)</f>
        <v>8.92463640370207</v>
      </c>
      <c r="D6" s="12" t="n">
        <v>1511</v>
      </c>
      <c r="E6" s="29" t="n">
        <v>11.17</v>
      </c>
      <c r="F6" s="14" t="s">
        <v>173</v>
      </c>
    </row>
    <row r="7" customFormat="false" ht="15" hidden="false" customHeight="false" outlineLevel="0" collapsed="false">
      <c r="A7" s="15" t="s">
        <v>142</v>
      </c>
      <c r="B7" s="21" t="n">
        <v>38200</v>
      </c>
      <c r="C7" s="32" t="n">
        <f aca="false">IF(B7="","",B7/$B$14*100)</f>
        <v>8.41780520052887</v>
      </c>
      <c r="D7" s="16" t="n">
        <v>2159</v>
      </c>
      <c r="E7" s="31" t="n">
        <v>3.57</v>
      </c>
      <c r="F7" s="19" t="s">
        <v>174</v>
      </c>
    </row>
    <row r="8" customFormat="false" ht="15" hidden="false" customHeight="false" outlineLevel="0" collapsed="false">
      <c r="A8" s="11" t="s">
        <v>133</v>
      </c>
      <c r="B8" s="24" t="n">
        <v>31300</v>
      </c>
      <c r="C8" s="30" t="n">
        <f aca="false">IF(B8="","",B8/$B$14*100)</f>
        <v>6.89731159100926</v>
      </c>
      <c r="D8" s="12" t="n">
        <v>1378</v>
      </c>
      <c r="E8" s="29" t="n">
        <v>12.61</v>
      </c>
      <c r="F8" s="14" t="s">
        <v>175</v>
      </c>
    </row>
    <row r="9" customFormat="false" ht="15" hidden="false" customHeight="false" outlineLevel="0" collapsed="false">
      <c r="A9" s="15" t="s">
        <v>139</v>
      </c>
      <c r="B9" s="21" t="n">
        <v>29000</v>
      </c>
      <c r="C9" s="32" t="n">
        <f aca="false">IF(B9="","",B9/$B$14*100)</f>
        <v>6.39048038783605</v>
      </c>
      <c r="D9" s="16"/>
      <c r="E9" s="31" t="n">
        <v>6.8</v>
      </c>
      <c r="F9" s="19"/>
    </row>
    <row r="10" customFormat="false" ht="15" hidden="false" customHeight="false" outlineLevel="0" collapsed="false">
      <c r="A10" s="11" t="s">
        <v>148</v>
      </c>
      <c r="B10" s="24" t="n">
        <v>6303</v>
      </c>
      <c r="C10" s="30" t="n">
        <f aca="false">IF(B10="","",B10/$B$14*100)</f>
        <v>1.38893785808726</v>
      </c>
      <c r="D10" s="12" t="n">
        <v>98.9</v>
      </c>
      <c r="E10" s="29"/>
      <c r="F10" s="14" t="s">
        <v>176</v>
      </c>
    </row>
    <row r="11" customFormat="false" ht="15" hidden="false" customHeight="false" outlineLevel="0" collapsed="false">
      <c r="A11" s="15" t="s">
        <v>141</v>
      </c>
      <c r="B11" s="21"/>
      <c r="C11" s="32" t="str">
        <f aca="false">IF(B11="","",B11/$B$14*100)</f>
        <v/>
      </c>
      <c r="D11" s="16" t="n">
        <v>1100</v>
      </c>
      <c r="E11" s="31" t="n">
        <v>3.96</v>
      </c>
      <c r="F11" s="19" t="s">
        <v>177</v>
      </c>
    </row>
    <row r="12" customFormat="false" ht="15" hidden="false" customHeight="false" outlineLevel="0" collapsed="false">
      <c r="A12" s="11" t="s">
        <v>150</v>
      </c>
      <c r="B12" s="24"/>
      <c r="C12" s="30" t="str">
        <f aca="false">IF(B12="","",B12/$B$14*100)</f>
        <v/>
      </c>
      <c r="D12" s="12" t="n">
        <v>75</v>
      </c>
      <c r="E12" s="29"/>
      <c r="F12" s="14" t="s">
        <v>178</v>
      </c>
    </row>
    <row r="13" customFormat="false" ht="15" hidden="false" customHeight="false" outlineLevel="0" collapsed="false">
      <c r="A13" s="11" t="s">
        <v>179</v>
      </c>
      <c r="B13" s="35" t="n">
        <f aca="false">SUM(B5:B12)</f>
        <v>196803</v>
      </c>
      <c r="C13" s="30" t="n">
        <f aca="false">B13/$B$14*100</f>
        <v>43.3677831643896</v>
      </c>
      <c r="D13" s="20" t="n">
        <f aca="false">SUM(D5:D12)</f>
        <v>8418.9</v>
      </c>
      <c r="E13" s="22"/>
      <c r="F13" s="34"/>
    </row>
    <row r="14" customFormat="false" ht="39.75" hidden="false" customHeight="true" outlineLevel="0" collapsed="false">
      <c r="A14" s="36" t="s">
        <v>180</v>
      </c>
      <c r="B14" s="37" t="n">
        <v>453800</v>
      </c>
      <c r="C14" s="38"/>
      <c r="D14" s="38"/>
      <c r="E14" s="38"/>
      <c r="F14" s="39" t="s">
        <v>181</v>
      </c>
    </row>
    <row r="16" customFormat="false" ht="22.35" hidden="false" customHeight="false" outlineLevel="0" collapsed="false">
      <c r="A16" s="22" t="s">
        <v>182</v>
      </c>
      <c r="B16" s="24" t="n">
        <v>424100</v>
      </c>
      <c r="C16" s="13" t="n">
        <f aca="false">(B14-B16)/B16*100</f>
        <v>7.00306531478425</v>
      </c>
      <c r="D16" s="22"/>
      <c r="E16" s="22"/>
      <c r="F16" s="14" t="s">
        <v>183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3" min="2" style="0" width="20"/>
    <col collapsed="false" customWidth="true" hidden="false" outlineLevel="0" max="4" min="4" style="0" width="22"/>
    <col collapsed="false" customWidth="true" hidden="false" outlineLevel="0" max="5" min="5" style="0" width="18"/>
    <col collapsed="false" customWidth="true" hidden="false" outlineLevel="0" max="6" min="6" style="0" width="44"/>
  </cols>
  <sheetData>
    <row r="1" customFormat="false" ht="17.35" hidden="false" customHeight="false" outlineLevel="0" collapsed="false">
      <c r="A1" s="1" t="s">
        <v>184</v>
      </c>
    </row>
    <row r="2" customFormat="false" ht="15" hidden="false" customHeight="false" outlineLevel="0" collapsed="false">
      <c r="A2" s="8" t="s">
        <v>185</v>
      </c>
    </row>
    <row r="4" customFormat="false" ht="30" hidden="false" customHeight="true" outlineLevel="0" collapsed="false">
      <c r="A4" s="9" t="s">
        <v>109</v>
      </c>
      <c r="B4" s="10" t="s">
        <v>148</v>
      </c>
      <c r="C4" s="10" t="s">
        <v>186</v>
      </c>
      <c r="D4" s="10" t="s">
        <v>87</v>
      </c>
      <c r="E4" s="10" t="s">
        <v>187</v>
      </c>
      <c r="F4" s="10" t="s">
        <v>159</v>
      </c>
    </row>
    <row r="5" customFormat="false" ht="22.35" hidden="false" customHeight="false" outlineLevel="0" collapsed="false">
      <c r="A5" s="15" t="s">
        <v>188</v>
      </c>
      <c r="B5" s="21" t="n">
        <v>1700000</v>
      </c>
      <c r="C5" s="21" t="n">
        <v>13852633</v>
      </c>
      <c r="D5" s="23" t="s">
        <v>90</v>
      </c>
      <c r="E5" s="32" t="n">
        <f aca="false">IF(B5="","",B5/C5*100)</f>
        <v>12.2720352152547</v>
      </c>
      <c r="F5" s="19" t="s">
        <v>189</v>
      </c>
    </row>
    <row r="6" customFormat="false" ht="15" hidden="false" customHeight="false" outlineLevel="0" collapsed="false">
      <c r="A6" s="11" t="s">
        <v>190</v>
      </c>
      <c r="B6" s="12" t="n">
        <v>25.38</v>
      </c>
      <c r="C6" s="12" t="n">
        <v>100</v>
      </c>
      <c r="D6" s="22" t="s">
        <v>191</v>
      </c>
      <c r="E6" s="30" t="n">
        <f aca="false">IF(B6="","",B6/C6*100)</f>
        <v>25.38</v>
      </c>
      <c r="F6" s="14" t="s">
        <v>192</v>
      </c>
    </row>
    <row r="7" customFormat="false" ht="15" hidden="false" customHeight="false" outlineLevel="0" collapsed="false">
      <c r="A7" s="15" t="s">
        <v>193</v>
      </c>
      <c r="B7" s="16" t="n">
        <v>2.88</v>
      </c>
      <c r="C7" s="16" t="n">
        <v>100</v>
      </c>
      <c r="D7" s="23" t="s">
        <v>191</v>
      </c>
      <c r="E7" s="32" t="n">
        <f aca="false">IF(B7="","",B7/C7*100)</f>
        <v>2.88</v>
      </c>
      <c r="F7" s="19" t="s">
        <v>194</v>
      </c>
    </row>
    <row r="8" customFormat="false" ht="22.35" hidden="false" customHeight="false" outlineLevel="0" collapsed="false">
      <c r="A8" s="11" t="s">
        <v>195</v>
      </c>
      <c r="B8" s="12"/>
      <c r="C8" s="12" t="n">
        <v>100</v>
      </c>
      <c r="D8" s="22" t="s">
        <v>191</v>
      </c>
      <c r="E8" s="30" t="str">
        <f aca="false">IF(B8="","",B8/C8*100)</f>
        <v/>
      </c>
      <c r="F8" s="14" t="s">
        <v>196</v>
      </c>
    </row>
    <row r="9" customFormat="false" ht="15" hidden="false" customHeight="false" outlineLevel="0" collapsed="false">
      <c r="A9" s="15" t="s">
        <v>197</v>
      </c>
      <c r="B9" s="16" t="n">
        <v>6303</v>
      </c>
      <c r="C9" s="16" t="n">
        <v>453800</v>
      </c>
      <c r="D9" s="23" t="s">
        <v>101</v>
      </c>
      <c r="E9" s="32" t="n">
        <f aca="false">IF(B9="","",B9/C9*100)</f>
        <v>1.38893785808726</v>
      </c>
      <c r="F9" s="19" t="s">
        <v>198</v>
      </c>
    </row>
    <row r="10" customFormat="false" ht="15" hidden="false" customHeight="false" outlineLevel="0" collapsed="false">
      <c r="A10" s="11" t="s">
        <v>199</v>
      </c>
      <c r="B10" s="12" t="n">
        <v>98.9</v>
      </c>
      <c r="C10" s="12" t="n">
        <v>9977</v>
      </c>
      <c r="D10" s="22" t="s">
        <v>101</v>
      </c>
      <c r="E10" s="30" t="n">
        <f aca="false">IF(B10="","",B10/C10*100)</f>
        <v>0.991279943870903</v>
      </c>
      <c r="F10" s="14" t="s">
        <v>200</v>
      </c>
    </row>
    <row r="12" customFormat="false" ht="15" hidden="false" customHeight="false" outlineLevel="0" collapsed="false">
      <c r="A12" s="5" t="s">
        <v>201</v>
      </c>
    </row>
    <row r="13" customFormat="false" ht="30" hidden="false" customHeight="true" outlineLevel="0" collapsed="false">
      <c r="A13" s="9" t="s">
        <v>78</v>
      </c>
      <c r="B13" s="10" t="s">
        <v>86</v>
      </c>
      <c r="C13" s="10"/>
      <c r="D13" s="10"/>
      <c r="E13" s="10"/>
      <c r="F13" s="10" t="s">
        <v>202</v>
      </c>
    </row>
    <row r="14" customFormat="false" ht="22.35" hidden="false" customHeight="false" outlineLevel="0" collapsed="false">
      <c r="A14" s="11" t="s">
        <v>203</v>
      </c>
      <c r="B14" s="40" t="n">
        <f aca="false">E7/E5</f>
        <v>0.234679900235294</v>
      </c>
      <c r="C14" s="22"/>
      <c r="D14" s="22"/>
      <c r="E14" s="22"/>
      <c r="F14" s="14" t="s">
        <v>204</v>
      </c>
    </row>
    <row r="15" customFormat="false" ht="22.35" hidden="false" customHeight="false" outlineLevel="0" collapsed="false">
      <c r="A15" s="11" t="s">
        <v>205</v>
      </c>
      <c r="B15" s="40" t="n">
        <f aca="false">E9/E5</f>
        <v>0.113179096516994</v>
      </c>
      <c r="C15" s="22"/>
      <c r="D15" s="22"/>
      <c r="E15" s="22"/>
      <c r="F15" s="14" t="s">
        <v>206</v>
      </c>
    </row>
    <row r="16" customFormat="false" ht="22.35" hidden="false" customHeight="false" outlineLevel="0" collapsed="false">
      <c r="A16" s="11" t="s">
        <v>207</v>
      </c>
      <c r="B16" s="40" t="n">
        <f aca="false">E6/E5</f>
        <v>2.06811662082353</v>
      </c>
      <c r="C16" s="22"/>
      <c r="D16" s="22"/>
      <c r="E16" s="22"/>
      <c r="F16" s="14" t="s">
        <v>208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6" min="2" style="0" width="15"/>
    <col collapsed="false" customWidth="true" hidden="false" outlineLevel="0" max="7" min="7" style="0" width="46"/>
  </cols>
  <sheetData>
    <row r="1" customFormat="false" ht="17.35" hidden="false" customHeight="false" outlineLevel="0" collapsed="false">
      <c r="A1" s="1" t="s">
        <v>209</v>
      </c>
    </row>
    <row r="2" customFormat="false" ht="15" hidden="false" customHeight="false" outlineLevel="0" collapsed="false">
      <c r="A2" s="8" t="s">
        <v>210</v>
      </c>
    </row>
    <row r="4" customFormat="false" ht="15" hidden="false" customHeight="false" outlineLevel="0" collapsed="false">
      <c r="A4" s="5" t="s">
        <v>211</v>
      </c>
    </row>
    <row r="5" customFormat="false" ht="25.5" hidden="false" customHeight="true" outlineLevel="0" collapsed="false">
      <c r="A5" s="3" t="s">
        <v>212</v>
      </c>
      <c r="B5" s="41" t="s">
        <v>213</v>
      </c>
      <c r="C5" s="41"/>
      <c r="D5" s="41"/>
      <c r="E5" s="41"/>
      <c r="F5" s="41"/>
      <c r="G5" s="41"/>
    </row>
    <row r="6" customFormat="false" ht="51.75" hidden="false" customHeight="true" outlineLevel="0" collapsed="false">
      <c r="A6" s="3" t="s">
        <v>214</v>
      </c>
      <c r="B6" s="41" t="s">
        <v>215</v>
      </c>
      <c r="C6" s="41"/>
      <c r="D6" s="41"/>
      <c r="E6" s="41"/>
      <c r="F6" s="41"/>
      <c r="G6" s="41"/>
    </row>
    <row r="7" customFormat="false" ht="25.5" hidden="false" customHeight="true" outlineLevel="0" collapsed="false">
      <c r="A7" s="3" t="s">
        <v>216</v>
      </c>
      <c r="B7" s="41" t="s">
        <v>217</v>
      </c>
      <c r="C7" s="41"/>
      <c r="D7" s="41"/>
      <c r="E7" s="41"/>
      <c r="F7" s="41"/>
      <c r="G7" s="41"/>
    </row>
    <row r="8" customFormat="false" ht="25.5" hidden="false" customHeight="true" outlineLevel="0" collapsed="false">
      <c r="A8" s="3" t="s">
        <v>218</v>
      </c>
      <c r="B8" s="41" t="s">
        <v>219</v>
      </c>
      <c r="C8" s="41"/>
      <c r="D8" s="41"/>
      <c r="E8" s="41"/>
      <c r="F8" s="41"/>
      <c r="G8" s="41"/>
    </row>
    <row r="9" customFormat="false" ht="25.5" hidden="false" customHeight="true" outlineLevel="0" collapsed="false">
      <c r="A9" s="3" t="s">
        <v>220</v>
      </c>
      <c r="B9" s="41" t="s">
        <v>221</v>
      </c>
      <c r="C9" s="41"/>
      <c r="D9" s="41"/>
      <c r="E9" s="41"/>
      <c r="F9" s="41"/>
      <c r="G9" s="41"/>
    </row>
    <row r="10" customFormat="false" ht="25.5" hidden="false" customHeight="true" outlineLevel="0" collapsed="false">
      <c r="A10" s="3" t="s">
        <v>222</v>
      </c>
      <c r="B10" s="41" t="s">
        <v>223</v>
      </c>
      <c r="C10" s="41"/>
      <c r="D10" s="41"/>
      <c r="E10" s="41"/>
      <c r="F10" s="41"/>
      <c r="G10" s="41"/>
    </row>
    <row r="11" customFormat="false" ht="12.75" hidden="false" customHeight="true" outlineLevel="0" collapsed="false">
      <c r="A11" s="3" t="s">
        <v>224</v>
      </c>
      <c r="B11" s="41" t="s">
        <v>225</v>
      </c>
      <c r="C11" s="41"/>
      <c r="D11" s="41"/>
      <c r="E11" s="41"/>
      <c r="F11" s="41"/>
      <c r="G11" s="41"/>
    </row>
    <row r="12" customFormat="false" ht="39" hidden="false" customHeight="true" outlineLevel="0" collapsed="false">
      <c r="A12" s="3" t="s">
        <v>226</v>
      </c>
      <c r="B12" s="41" t="s">
        <v>227</v>
      </c>
      <c r="C12" s="41"/>
      <c r="D12" s="41"/>
      <c r="E12" s="41"/>
      <c r="F12" s="41"/>
      <c r="G12" s="41"/>
    </row>
    <row r="14" customFormat="false" ht="15" hidden="false" customHeight="false" outlineLevel="0" collapsed="false">
      <c r="A14" s="5" t="s">
        <v>228</v>
      </c>
    </row>
    <row r="15" customFormat="false" ht="30" hidden="false" customHeight="true" outlineLevel="0" collapsed="false">
      <c r="A15" s="9" t="s">
        <v>229</v>
      </c>
      <c r="B15" s="10" t="s">
        <v>148</v>
      </c>
      <c r="C15" s="10" t="s">
        <v>230</v>
      </c>
      <c r="D15" s="10" t="s">
        <v>231</v>
      </c>
      <c r="E15" s="10"/>
      <c r="F15" s="10"/>
      <c r="G15" s="10" t="s">
        <v>63</v>
      </c>
    </row>
    <row r="16" customFormat="false" ht="15" hidden="false" customHeight="false" outlineLevel="0" collapsed="false">
      <c r="A16" s="15" t="s">
        <v>232</v>
      </c>
      <c r="B16" s="21" t="n">
        <v>868</v>
      </c>
      <c r="C16" s="21" t="n">
        <v>1200</v>
      </c>
      <c r="D16" s="21" t="n">
        <v>177</v>
      </c>
      <c r="E16" s="23"/>
      <c r="F16" s="23"/>
      <c r="G16" s="19" t="s">
        <v>233</v>
      </c>
    </row>
    <row r="17" customFormat="false" ht="15" hidden="false" customHeight="false" outlineLevel="0" collapsed="false">
      <c r="A17" s="11" t="s">
        <v>234</v>
      </c>
      <c r="B17" s="24" t="n">
        <v>127</v>
      </c>
      <c r="C17" s="24"/>
      <c r="D17" s="24"/>
      <c r="E17" s="22"/>
      <c r="F17" s="22"/>
      <c r="G17" s="14"/>
    </row>
    <row r="18" customFormat="false" ht="15" hidden="false" customHeight="false" outlineLevel="0" collapsed="false">
      <c r="A18" s="15" t="s">
        <v>235</v>
      </c>
      <c r="B18" s="21" t="n">
        <v>72</v>
      </c>
      <c r="C18" s="21"/>
      <c r="D18" s="21"/>
      <c r="E18" s="23"/>
      <c r="F18" s="23"/>
      <c r="G18" s="19"/>
    </row>
    <row r="19" customFormat="false" ht="15" hidden="false" customHeight="false" outlineLevel="0" collapsed="false">
      <c r="A19" s="11" t="s">
        <v>236</v>
      </c>
      <c r="B19" s="24" t="n">
        <v>36</v>
      </c>
      <c r="C19" s="24"/>
      <c r="D19" s="24"/>
      <c r="E19" s="22"/>
      <c r="F19" s="22"/>
      <c r="G19" s="14"/>
    </row>
    <row r="20" customFormat="false" ht="15" hidden="false" customHeight="false" outlineLevel="0" collapsed="false">
      <c r="A20" s="15" t="s">
        <v>237</v>
      </c>
      <c r="B20" s="21" t="n">
        <v>633</v>
      </c>
      <c r="C20" s="21" t="n">
        <v>1116</v>
      </c>
      <c r="D20" s="21" t="n">
        <v>169</v>
      </c>
      <c r="E20" s="23"/>
      <c r="F20" s="23"/>
      <c r="G20" s="19" t="s">
        <v>238</v>
      </c>
    </row>
    <row r="21" customFormat="false" ht="15" hidden="false" customHeight="false" outlineLevel="0" collapsed="false">
      <c r="A21" s="22" t="s">
        <v>239</v>
      </c>
      <c r="B21" s="13" t="n">
        <f aca="false">(B16-B20)/B16*100</f>
        <v>27.073732718894</v>
      </c>
      <c r="C21" s="13" t="n">
        <f aca="false">(C16-C20)/C16*100</f>
        <v>7</v>
      </c>
      <c r="D21" s="13" t="n">
        <f aca="false">(D16-D20)/D16*100</f>
        <v>4.51977401129944</v>
      </c>
      <c r="E21" s="22"/>
      <c r="F21" s="22"/>
      <c r="G21" s="34"/>
    </row>
    <row r="22" customFormat="false" ht="15" hidden="false" customHeight="false" outlineLevel="0" collapsed="false">
      <c r="A22" s="22" t="s">
        <v>240</v>
      </c>
      <c r="B22" s="42" t="n">
        <v>3.287</v>
      </c>
      <c r="C22" s="42" t="n">
        <v>2.597</v>
      </c>
      <c r="D22" s="42" t="n">
        <v>2.181</v>
      </c>
      <c r="E22" s="22"/>
      <c r="F22" s="22"/>
      <c r="G22" s="14"/>
    </row>
    <row r="23" customFormat="false" ht="15" hidden="false" customHeight="false" outlineLevel="0" collapsed="false">
      <c r="A23" s="22" t="s">
        <v>241</v>
      </c>
      <c r="B23" s="42" t="n">
        <v>3.161</v>
      </c>
      <c r="C23" s="42" t="n">
        <v>2.515</v>
      </c>
      <c r="D23" s="42" t="n">
        <v>2.154</v>
      </c>
      <c r="E23" s="22"/>
      <c r="F23" s="22"/>
      <c r="G23" s="14"/>
    </row>
    <row r="24" customFormat="false" ht="22.35" hidden="false" customHeight="false" outlineLevel="0" collapsed="false">
      <c r="A24" s="22" t="s">
        <v>242</v>
      </c>
      <c r="B24" s="42" t="n">
        <v>3.626</v>
      </c>
      <c r="C24" s="42"/>
      <c r="D24" s="42"/>
      <c r="E24" s="22"/>
      <c r="F24" s="22"/>
      <c r="G24" s="14" t="s">
        <v>243</v>
      </c>
    </row>
    <row r="26" customFormat="false" ht="15" hidden="false" customHeight="false" outlineLevel="0" collapsed="false">
      <c r="A26" s="5" t="s">
        <v>244</v>
      </c>
    </row>
    <row r="27" customFormat="false" ht="30" hidden="false" customHeight="true" outlineLevel="0" collapsed="false">
      <c r="A27" s="9" t="s">
        <v>245</v>
      </c>
      <c r="B27" s="10" t="s">
        <v>246</v>
      </c>
      <c r="C27" s="10" t="s">
        <v>247</v>
      </c>
      <c r="D27" s="10" t="s">
        <v>248</v>
      </c>
      <c r="E27" s="10" t="s">
        <v>249</v>
      </c>
      <c r="F27" s="10" t="s">
        <v>250</v>
      </c>
      <c r="G27" s="10" t="s">
        <v>251</v>
      </c>
    </row>
    <row r="28" customFormat="false" ht="15" hidden="false" customHeight="false" outlineLevel="0" collapsed="false">
      <c r="A28" s="15" t="s">
        <v>252</v>
      </c>
      <c r="B28" s="21" t="n">
        <v>3</v>
      </c>
      <c r="C28" s="21" t="n">
        <v>0</v>
      </c>
      <c r="D28" s="18" t="n">
        <f aca="false">C28/B28*100</f>
        <v>0</v>
      </c>
      <c r="E28" s="43" t="n">
        <f aca="false">B28-C28</f>
        <v>3</v>
      </c>
      <c r="F28" s="44" t="n">
        <v>3.667</v>
      </c>
      <c r="G28" s="21" t="n">
        <v>0</v>
      </c>
    </row>
    <row r="29" customFormat="false" ht="15" hidden="false" customHeight="false" outlineLevel="0" collapsed="false">
      <c r="A29" s="11" t="s">
        <v>253</v>
      </c>
      <c r="B29" s="24" t="n">
        <v>72</v>
      </c>
      <c r="C29" s="24" t="n">
        <v>13</v>
      </c>
      <c r="D29" s="13" t="n">
        <f aca="false">C29/B29*100</f>
        <v>18.0555555555556</v>
      </c>
      <c r="E29" s="35" t="n">
        <f aca="false">B29-C29</f>
        <v>59</v>
      </c>
      <c r="F29" s="42" t="n">
        <v>1.983</v>
      </c>
      <c r="G29" s="24" t="n">
        <v>2</v>
      </c>
    </row>
    <row r="30" customFormat="false" ht="15" hidden="false" customHeight="false" outlineLevel="0" collapsed="false">
      <c r="A30" s="15" t="s">
        <v>254</v>
      </c>
      <c r="B30" s="21" t="n">
        <v>207</v>
      </c>
      <c r="C30" s="21" t="n">
        <v>101</v>
      </c>
      <c r="D30" s="18" t="n">
        <f aca="false">C30/B30*100</f>
        <v>48.792270531401</v>
      </c>
      <c r="E30" s="43" t="n">
        <f aca="false">B30-C30</f>
        <v>106</v>
      </c>
      <c r="F30" s="44" t="n">
        <v>3.142</v>
      </c>
      <c r="G30" s="21" t="n">
        <v>19</v>
      </c>
    </row>
    <row r="31" customFormat="false" ht="15" hidden="false" customHeight="false" outlineLevel="0" collapsed="false">
      <c r="A31" s="11" t="s">
        <v>255</v>
      </c>
      <c r="B31" s="24" t="n">
        <v>154</v>
      </c>
      <c r="C31" s="24" t="n">
        <v>86</v>
      </c>
      <c r="D31" s="13" t="n">
        <f aca="false">C31/B31*100</f>
        <v>55.8441558441558</v>
      </c>
      <c r="E31" s="35" t="n">
        <f aca="false">B31-C31</f>
        <v>68</v>
      </c>
      <c r="F31" s="42" t="n">
        <v>2.574</v>
      </c>
      <c r="G31" s="24" t="n">
        <v>6</v>
      </c>
    </row>
    <row r="32" customFormat="false" ht="15" hidden="false" customHeight="false" outlineLevel="0" collapsed="false">
      <c r="A32" s="15" t="s">
        <v>256</v>
      </c>
      <c r="B32" s="21" t="n">
        <v>202</v>
      </c>
      <c r="C32" s="21" t="n">
        <v>27</v>
      </c>
      <c r="D32" s="18" t="n">
        <f aca="false">C32/B32*100</f>
        <v>13.3663366336634</v>
      </c>
      <c r="E32" s="43" t="n">
        <f aca="false">B32-C32</f>
        <v>175</v>
      </c>
      <c r="F32" s="44" t="n">
        <v>4.291</v>
      </c>
      <c r="G32" s="21" t="n">
        <v>54</v>
      </c>
    </row>
    <row r="33" customFormat="false" ht="15" hidden="false" customHeight="false" outlineLevel="0" collapsed="false">
      <c r="A33" s="11" t="s">
        <v>257</v>
      </c>
      <c r="B33" s="24" t="n">
        <v>159</v>
      </c>
      <c r="C33" s="24" t="n">
        <v>7</v>
      </c>
      <c r="D33" s="13" t="n">
        <f aca="false">C33/B33*100</f>
        <v>4.40251572327044</v>
      </c>
      <c r="E33" s="35" t="n">
        <f aca="false">B33-C33</f>
        <v>152</v>
      </c>
      <c r="F33" s="42" t="n">
        <v>2.632</v>
      </c>
      <c r="G33" s="24" t="n">
        <v>20</v>
      </c>
    </row>
    <row r="34" customFormat="false" ht="15" hidden="false" customHeight="false" outlineLevel="0" collapsed="false">
      <c r="A34" s="15" t="s">
        <v>258</v>
      </c>
      <c r="B34" s="21" t="n">
        <v>71</v>
      </c>
      <c r="C34" s="21" t="n">
        <v>1</v>
      </c>
      <c r="D34" s="18" t="n">
        <f aca="false">C34/B34*100</f>
        <v>1.40845070422535</v>
      </c>
      <c r="E34" s="43" t="n">
        <f aca="false">B34-C34</f>
        <v>70</v>
      </c>
      <c r="F34" s="44" t="n">
        <v>3.057</v>
      </c>
      <c r="G34" s="21" t="n">
        <v>9</v>
      </c>
    </row>
    <row r="35" customFormat="false" ht="15" hidden="false" customHeight="false" outlineLevel="0" collapsed="false">
      <c r="A35" s="11" t="s">
        <v>259</v>
      </c>
      <c r="B35" s="45" t="n">
        <f aca="false">SUM(B28:B34)</f>
        <v>868</v>
      </c>
      <c r="C35" s="45" t="n">
        <f aca="false">SUM(C28:C34)</f>
        <v>235</v>
      </c>
      <c r="D35" s="46" t="n">
        <f aca="false">C35/B35*100</f>
        <v>27.073732718894</v>
      </c>
      <c r="E35" s="45" t="n">
        <f aca="false">SUM(E28:E34)</f>
        <v>633</v>
      </c>
      <c r="F35" s="42" t="n">
        <v>3.161</v>
      </c>
      <c r="G35" s="45" t="n">
        <f aca="false">SUM(G28:G34)</f>
        <v>110</v>
      </c>
    </row>
    <row r="37" customFormat="false" ht="15" hidden="false" customHeight="false" outlineLevel="0" collapsed="false">
      <c r="A37" s="5" t="s">
        <v>260</v>
      </c>
    </row>
    <row r="38" customFormat="false" ht="30" hidden="false" customHeight="true" outlineLevel="0" collapsed="false">
      <c r="A38" s="9" t="s">
        <v>245</v>
      </c>
      <c r="B38" s="10" t="s">
        <v>261</v>
      </c>
      <c r="C38" s="10" t="s">
        <v>262</v>
      </c>
      <c r="D38" s="10" t="s">
        <v>263</v>
      </c>
      <c r="E38" s="10"/>
      <c r="F38" s="10"/>
      <c r="G38" s="10" t="s">
        <v>202</v>
      </c>
    </row>
    <row r="39" customFormat="false" ht="15" hidden="false" customHeight="false" outlineLevel="0" collapsed="false">
      <c r="A39" s="15" t="s">
        <v>252</v>
      </c>
      <c r="B39" s="21" t="n">
        <v>3</v>
      </c>
      <c r="C39" s="44" t="n">
        <v>3.667</v>
      </c>
      <c r="D39" s="47" t="n">
        <v>0</v>
      </c>
      <c r="E39" s="23"/>
      <c r="F39" s="23"/>
      <c r="G39" s="19"/>
    </row>
    <row r="40" customFormat="false" ht="15" hidden="false" customHeight="false" outlineLevel="0" collapsed="false">
      <c r="A40" s="11" t="s">
        <v>253</v>
      </c>
      <c r="B40" s="24" t="n">
        <v>57</v>
      </c>
      <c r="C40" s="42" t="n">
        <v>1.877</v>
      </c>
      <c r="D40" s="48" t="n">
        <v>3.4</v>
      </c>
      <c r="E40" s="22"/>
      <c r="F40" s="22"/>
      <c r="G40" s="14"/>
    </row>
    <row r="41" customFormat="false" ht="15" hidden="false" customHeight="false" outlineLevel="0" collapsed="false">
      <c r="A41" s="15" t="s">
        <v>254</v>
      </c>
      <c r="B41" s="21" t="n">
        <v>87</v>
      </c>
      <c r="C41" s="44" t="n">
        <v>2.851</v>
      </c>
      <c r="D41" s="47" t="n">
        <v>17.9</v>
      </c>
      <c r="E41" s="23"/>
      <c r="F41" s="23"/>
      <c r="G41" s="19"/>
    </row>
    <row r="42" customFormat="false" ht="15" hidden="false" customHeight="false" outlineLevel="0" collapsed="false">
      <c r="A42" s="11" t="s">
        <v>255</v>
      </c>
      <c r="B42" s="24" t="n">
        <v>62</v>
      </c>
      <c r="C42" s="42" t="n">
        <v>2.403</v>
      </c>
      <c r="D42" s="48" t="n">
        <v>8.8</v>
      </c>
      <c r="E42" s="22"/>
      <c r="F42" s="22"/>
      <c r="G42" s="14"/>
    </row>
    <row r="43" customFormat="false" ht="22.35" hidden="false" customHeight="false" outlineLevel="0" collapsed="false">
      <c r="A43" s="15" t="s">
        <v>256</v>
      </c>
      <c r="B43" s="21" t="n">
        <v>121</v>
      </c>
      <c r="C43" s="44" t="n">
        <v>4.066</v>
      </c>
      <c r="D43" s="47" t="n">
        <v>30.9</v>
      </c>
      <c r="E43" s="23"/>
      <c r="F43" s="23"/>
      <c r="G43" s="19" t="s">
        <v>264</v>
      </c>
    </row>
    <row r="44" customFormat="false" ht="15" hidden="false" customHeight="false" outlineLevel="0" collapsed="false">
      <c r="A44" s="11" t="s">
        <v>257</v>
      </c>
      <c r="B44" s="24" t="n">
        <v>132</v>
      </c>
      <c r="C44" s="42" t="n">
        <v>2.364</v>
      </c>
      <c r="D44" s="48" t="n">
        <v>13.2</v>
      </c>
      <c r="E44" s="22"/>
      <c r="F44" s="22"/>
      <c r="G44" s="14" t="s">
        <v>265</v>
      </c>
    </row>
    <row r="45" customFormat="false" ht="15" hidden="false" customHeight="false" outlineLevel="0" collapsed="false">
      <c r="A45" s="15" t="s">
        <v>258</v>
      </c>
      <c r="B45" s="21" t="n">
        <v>61</v>
      </c>
      <c r="C45" s="44" t="n">
        <v>2.852</v>
      </c>
      <c r="D45" s="47" t="n">
        <v>12.9</v>
      </c>
      <c r="E45" s="23"/>
      <c r="F45" s="23"/>
      <c r="G45" s="19"/>
    </row>
    <row r="47" customFormat="false" ht="15" hidden="false" customHeight="false" outlineLevel="0" collapsed="false">
      <c r="A47" s="5" t="s">
        <v>266</v>
      </c>
    </row>
    <row r="48" customFormat="false" ht="30" hidden="false" customHeight="true" outlineLevel="0" collapsed="false">
      <c r="A48" s="9" t="s">
        <v>267</v>
      </c>
      <c r="B48" s="10" t="s">
        <v>268</v>
      </c>
      <c r="C48" s="10" t="s">
        <v>269</v>
      </c>
      <c r="D48" s="10" t="s">
        <v>270</v>
      </c>
      <c r="E48" s="10" t="s">
        <v>271</v>
      </c>
      <c r="F48" s="10" t="s">
        <v>272</v>
      </c>
      <c r="G48" s="10" t="s">
        <v>110</v>
      </c>
    </row>
    <row r="49" customFormat="false" ht="15" hidden="false" customHeight="false" outlineLevel="0" collapsed="false">
      <c r="A49" s="15" t="s">
        <v>273</v>
      </c>
      <c r="B49" s="21" t="n">
        <v>53</v>
      </c>
      <c r="C49" s="21" t="n">
        <v>4</v>
      </c>
      <c r="D49" s="21" t="n">
        <v>5</v>
      </c>
      <c r="E49" s="43" t="n">
        <f aca="false">B49+C49+D49</f>
        <v>62</v>
      </c>
      <c r="F49" s="18" t="n">
        <f aca="false">B49/271*100</f>
        <v>19.5571955719557</v>
      </c>
      <c r="G49" s="19" t="s">
        <v>274</v>
      </c>
    </row>
    <row r="50" customFormat="false" ht="15" hidden="false" customHeight="false" outlineLevel="0" collapsed="false">
      <c r="A50" s="11" t="s">
        <v>275</v>
      </c>
      <c r="B50" s="24" t="n">
        <v>70</v>
      </c>
      <c r="C50" s="24" t="n">
        <v>5</v>
      </c>
      <c r="D50" s="24" t="n">
        <v>28</v>
      </c>
      <c r="E50" s="35" t="n">
        <f aca="false">B50+C50+D50</f>
        <v>103</v>
      </c>
      <c r="F50" s="13" t="n">
        <f aca="false">B50/271*100</f>
        <v>25.830258302583</v>
      </c>
      <c r="G50" s="14" t="s">
        <v>276</v>
      </c>
    </row>
    <row r="51" customFormat="false" ht="15" hidden="false" customHeight="false" outlineLevel="0" collapsed="false">
      <c r="A51" s="15" t="s">
        <v>277</v>
      </c>
      <c r="B51" s="21" t="n">
        <v>14</v>
      </c>
      <c r="C51" s="21" t="n">
        <v>2</v>
      </c>
      <c r="D51" s="21" t="n">
        <v>7</v>
      </c>
      <c r="E51" s="43" t="n">
        <f aca="false">B51+C51+D51</f>
        <v>23</v>
      </c>
      <c r="F51" s="18" t="n">
        <f aca="false">B51/271*100</f>
        <v>5.16605166051661</v>
      </c>
      <c r="G51" s="19" t="s">
        <v>278</v>
      </c>
    </row>
    <row r="52" customFormat="false" ht="15" hidden="false" customHeight="false" outlineLevel="0" collapsed="false">
      <c r="A52" s="11" t="s">
        <v>279</v>
      </c>
      <c r="B52" s="24" t="n">
        <v>26</v>
      </c>
      <c r="C52" s="24" t="n">
        <v>3</v>
      </c>
      <c r="D52" s="24" t="n">
        <v>6</v>
      </c>
      <c r="E52" s="35" t="n">
        <f aca="false">B52+C52+D52</f>
        <v>35</v>
      </c>
      <c r="F52" s="13" t="n">
        <f aca="false">B52/271*100</f>
        <v>9.59409594095941</v>
      </c>
      <c r="G52" s="14" t="s">
        <v>280</v>
      </c>
    </row>
    <row r="53" customFormat="false" ht="15" hidden="false" customHeight="false" outlineLevel="0" collapsed="false">
      <c r="A53" s="15" t="s">
        <v>281</v>
      </c>
      <c r="B53" s="21" t="n">
        <v>4</v>
      </c>
      <c r="C53" s="21" t="n">
        <v>2</v>
      </c>
      <c r="D53" s="21" t="n">
        <v>5</v>
      </c>
      <c r="E53" s="43" t="n">
        <f aca="false">B53+C53+D53</f>
        <v>11</v>
      </c>
      <c r="F53" s="18" t="n">
        <f aca="false">B53/271*100</f>
        <v>1.4760147601476</v>
      </c>
      <c r="G53" s="19" t="s">
        <v>282</v>
      </c>
    </row>
    <row r="54" customFormat="false" ht="15" hidden="false" customHeight="false" outlineLevel="0" collapsed="false">
      <c r="A54" s="11" t="s">
        <v>283</v>
      </c>
      <c r="B54" s="24" t="n">
        <v>44</v>
      </c>
      <c r="C54" s="24" t="n">
        <v>2</v>
      </c>
      <c r="D54" s="24" t="n">
        <v>1</v>
      </c>
      <c r="E54" s="35" t="n">
        <f aca="false">B54+C54+D54</f>
        <v>47</v>
      </c>
      <c r="F54" s="13" t="n">
        <f aca="false">B54/271*100</f>
        <v>16.2361623616236</v>
      </c>
      <c r="G54" s="14" t="s">
        <v>284</v>
      </c>
    </row>
    <row r="55" customFormat="false" ht="15" hidden="false" customHeight="false" outlineLevel="0" collapsed="false">
      <c r="A55" s="15" t="s">
        <v>285</v>
      </c>
      <c r="B55" s="21" t="n">
        <v>8</v>
      </c>
      <c r="C55" s="21" t="n">
        <v>0</v>
      </c>
      <c r="D55" s="21" t="n">
        <v>0</v>
      </c>
      <c r="E55" s="43" t="n">
        <f aca="false">B55+C55+D55</f>
        <v>8</v>
      </c>
      <c r="F55" s="18" t="n">
        <f aca="false">B55/271*100</f>
        <v>2.9520295202952</v>
      </c>
      <c r="G55" s="19" t="s">
        <v>286</v>
      </c>
    </row>
    <row r="56" customFormat="false" ht="15" hidden="false" customHeight="false" outlineLevel="0" collapsed="false">
      <c r="A56" s="11" t="s">
        <v>287</v>
      </c>
      <c r="B56" s="24" t="n">
        <v>0</v>
      </c>
      <c r="C56" s="24" t="n">
        <v>0</v>
      </c>
      <c r="D56" s="24" t="n">
        <v>4</v>
      </c>
      <c r="E56" s="35" t="n">
        <f aca="false">B56+C56+D56</f>
        <v>4</v>
      </c>
      <c r="F56" s="13" t="n">
        <f aca="false">B56/271*100</f>
        <v>0</v>
      </c>
      <c r="G56" s="14" t="s">
        <v>288</v>
      </c>
    </row>
    <row r="57" customFormat="false" ht="15" hidden="false" customHeight="false" outlineLevel="0" collapsed="false">
      <c r="A57" s="15" t="s">
        <v>289</v>
      </c>
      <c r="B57" s="21" t="n">
        <v>5</v>
      </c>
      <c r="C57" s="21" t="n">
        <v>0</v>
      </c>
      <c r="D57" s="21" t="n">
        <v>10</v>
      </c>
      <c r="E57" s="43" t="n">
        <f aca="false">B57+C57+D57</f>
        <v>15</v>
      </c>
      <c r="F57" s="18" t="n">
        <f aca="false">B57/271*100</f>
        <v>1.8450184501845</v>
      </c>
      <c r="G57" s="19" t="s">
        <v>290</v>
      </c>
    </row>
    <row r="58" customFormat="false" ht="15" hidden="false" customHeight="false" outlineLevel="0" collapsed="false">
      <c r="A58" s="11" t="s">
        <v>291</v>
      </c>
      <c r="B58" s="24" t="n">
        <v>2</v>
      </c>
      <c r="C58" s="24" t="n">
        <v>1</v>
      </c>
      <c r="D58" s="24" t="n">
        <v>2</v>
      </c>
      <c r="E58" s="35" t="n">
        <f aca="false">B58+C58+D58</f>
        <v>5</v>
      </c>
      <c r="F58" s="13" t="n">
        <f aca="false">B58/271*100</f>
        <v>0.738007380073801</v>
      </c>
      <c r="G58" s="14" t="s">
        <v>292</v>
      </c>
    </row>
    <row r="59" customFormat="false" ht="15" hidden="false" customHeight="false" outlineLevel="0" collapsed="false">
      <c r="A59" s="15" t="s">
        <v>293</v>
      </c>
      <c r="B59" s="21" t="n">
        <v>3</v>
      </c>
      <c r="C59" s="21" t="n">
        <v>5</v>
      </c>
      <c r="D59" s="21" t="n">
        <v>25</v>
      </c>
      <c r="E59" s="43" t="n">
        <f aca="false">B59+C59+D59</f>
        <v>33</v>
      </c>
      <c r="F59" s="18" t="n">
        <f aca="false">B59/271*100</f>
        <v>1.1070110701107</v>
      </c>
      <c r="G59" s="19" t="s">
        <v>294</v>
      </c>
    </row>
    <row r="60" customFormat="false" ht="22.35" hidden="false" customHeight="false" outlineLevel="0" collapsed="false">
      <c r="A60" s="11" t="s">
        <v>295</v>
      </c>
      <c r="B60" s="24" t="n">
        <v>271</v>
      </c>
      <c r="C60" s="24" t="n">
        <v>31</v>
      </c>
      <c r="D60" s="24" t="n">
        <v>331</v>
      </c>
      <c r="E60" s="45" t="n">
        <f aca="false">B60+C60+D60</f>
        <v>633</v>
      </c>
      <c r="F60" s="22"/>
      <c r="G60" s="14" t="s">
        <v>296</v>
      </c>
    </row>
    <row r="62" customFormat="false" ht="15" hidden="false" customHeight="false" outlineLevel="0" collapsed="false">
      <c r="A62" s="5" t="s">
        <v>297</v>
      </c>
    </row>
    <row r="63" customFormat="false" ht="30" hidden="false" customHeight="true" outlineLevel="0" collapsed="false">
      <c r="A63" s="9" t="s">
        <v>298</v>
      </c>
      <c r="B63" s="10" t="s">
        <v>246</v>
      </c>
      <c r="C63" s="10" t="s">
        <v>249</v>
      </c>
      <c r="D63" s="10" t="s">
        <v>250</v>
      </c>
      <c r="E63" s="10" t="s">
        <v>299</v>
      </c>
      <c r="F63" s="10" t="s">
        <v>300</v>
      </c>
      <c r="G63" s="10" t="s">
        <v>301</v>
      </c>
    </row>
    <row r="64" customFormat="false" ht="15" hidden="false" customHeight="false" outlineLevel="0" collapsed="false">
      <c r="A64" s="15" t="s">
        <v>302</v>
      </c>
      <c r="B64" s="21" t="n">
        <v>868</v>
      </c>
      <c r="C64" s="21" t="n">
        <v>633</v>
      </c>
      <c r="D64" s="44" t="n">
        <v>3.161</v>
      </c>
      <c r="E64" s="44" t="n">
        <v>2.632</v>
      </c>
      <c r="F64" s="44" t="n">
        <v>3.057</v>
      </c>
      <c r="G64" s="47" t="n">
        <v>39.8</v>
      </c>
    </row>
    <row r="65" customFormat="false" ht="15" hidden="false" customHeight="false" outlineLevel="0" collapsed="false">
      <c r="A65" s="11" t="s">
        <v>230</v>
      </c>
      <c r="B65" s="24" t="n">
        <v>1200</v>
      </c>
      <c r="C65" s="24" t="n">
        <v>1116</v>
      </c>
      <c r="D65" s="42" t="n">
        <v>2.515</v>
      </c>
      <c r="E65" s="42" t="n">
        <v>2.081</v>
      </c>
      <c r="F65" s="42" t="n">
        <v>2.071</v>
      </c>
      <c r="G65" s="48" t="n">
        <v>53.3</v>
      </c>
    </row>
    <row r="66" customFormat="false" ht="15" hidden="false" customHeight="false" outlineLevel="0" collapsed="false">
      <c r="A66" s="15" t="s">
        <v>231</v>
      </c>
      <c r="B66" s="21" t="n">
        <v>177</v>
      </c>
      <c r="C66" s="21" t="n">
        <v>169</v>
      </c>
      <c r="D66" s="44" t="n">
        <v>2.154</v>
      </c>
      <c r="E66" s="44" t="n">
        <v>1.979</v>
      </c>
      <c r="F66" s="44" t="n">
        <v>3.261</v>
      </c>
      <c r="G66" s="47" t="n">
        <v>59.2</v>
      </c>
    </row>
  </sheetData>
  <mergeCells count="8">
    <mergeCell ref="B5:G5"/>
    <mergeCell ref="B6:G6"/>
    <mergeCell ref="B7:G7"/>
    <mergeCell ref="B8:G8"/>
    <mergeCell ref="B9:G9"/>
    <mergeCell ref="B10:G10"/>
    <mergeCell ref="B11:G11"/>
    <mergeCell ref="B12:G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9"/>
    <col collapsed="false" customWidth="true" hidden="false" outlineLevel="0" max="3" min="3" style="0" width="13"/>
    <col collapsed="false" customWidth="true" hidden="false" outlineLevel="0" max="4" min="4" style="0" width="11"/>
    <col collapsed="false" customWidth="true" hidden="false" outlineLevel="0" max="5" min="5" style="0" width="26"/>
    <col collapsed="false" customWidth="true" hidden="false" outlineLevel="0" max="6" min="6" style="0" width="96"/>
  </cols>
  <sheetData>
    <row r="1" customFormat="false" ht="17.35" hidden="false" customHeight="false" outlineLevel="0" collapsed="false">
      <c r="A1" s="1" t="s">
        <v>303</v>
      </c>
    </row>
    <row r="2" customFormat="false" ht="15" hidden="false" customHeight="false" outlineLevel="0" collapsed="false">
      <c r="A2" s="8" t="s">
        <v>304</v>
      </c>
    </row>
    <row r="4" customFormat="false" ht="30" hidden="false" customHeight="true" outlineLevel="0" collapsed="false">
      <c r="A4" s="9" t="s">
        <v>305</v>
      </c>
      <c r="B4" s="10" t="s">
        <v>306</v>
      </c>
      <c r="C4" s="10" t="s">
        <v>307</v>
      </c>
      <c r="D4" s="10" t="s">
        <v>308</v>
      </c>
      <c r="E4" s="10" t="s">
        <v>309</v>
      </c>
      <c r="F4" s="10" t="s">
        <v>310</v>
      </c>
    </row>
    <row r="5" customFormat="false" ht="23.85" hidden="false" customHeight="false" outlineLevel="0" collapsed="false">
      <c r="A5" s="22" t="s">
        <v>311</v>
      </c>
      <c r="B5" s="49" t="n">
        <v>1</v>
      </c>
      <c r="C5" s="22" t="s">
        <v>312</v>
      </c>
      <c r="D5" s="35" t="n">
        <v>54</v>
      </c>
      <c r="E5" s="50" t="s">
        <v>313</v>
      </c>
      <c r="F5" s="50" t="s">
        <v>314</v>
      </c>
    </row>
    <row r="6" customFormat="false" ht="23.85" hidden="false" customHeight="false" outlineLevel="0" collapsed="false">
      <c r="A6" s="23" t="s">
        <v>315</v>
      </c>
      <c r="B6" s="51" t="n">
        <v>1</v>
      </c>
      <c r="C6" s="23" t="s">
        <v>316</v>
      </c>
      <c r="D6" s="43" t="n">
        <v>28</v>
      </c>
      <c r="E6" s="52" t="s">
        <v>273</v>
      </c>
      <c r="F6" s="52" t="s">
        <v>317</v>
      </c>
    </row>
    <row r="7" customFormat="false" ht="15" hidden="false" customHeight="false" outlineLevel="0" collapsed="false">
      <c r="A7" s="22" t="s">
        <v>318</v>
      </c>
      <c r="B7" s="49" t="n">
        <v>1</v>
      </c>
      <c r="C7" s="22" t="s">
        <v>319</v>
      </c>
      <c r="D7" s="35" t="n">
        <v>25</v>
      </c>
      <c r="E7" s="50" t="s">
        <v>273</v>
      </c>
      <c r="F7" s="50" t="s">
        <v>320</v>
      </c>
    </row>
    <row r="8" customFormat="false" ht="15" hidden="false" customHeight="false" outlineLevel="0" collapsed="false">
      <c r="A8" s="23" t="s">
        <v>321</v>
      </c>
      <c r="B8" s="51" t="n">
        <v>1</v>
      </c>
      <c r="C8" s="23" t="s">
        <v>322</v>
      </c>
      <c r="D8" s="43" t="n">
        <v>22</v>
      </c>
      <c r="E8" s="52" t="s">
        <v>273</v>
      </c>
      <c r="F8" s="52" t="s">
        <v>323</v>
      </c>
    </row>
    <row r="9" customFormat="false" ht="15" hidden="false" customHeight="false" outlineLevel="0" collapsed="false">
      <c r="A9" s="22" t="s">
        <v>324</v>
      </c>
      <c r="B9" s="49" t="n">
        <v>1</v>
      </c>
      <c r="C9" s="22" t="s">
        <v>325</v>
      </c>
      <c r="D9" s="35" t="n">
        <v>20</v>
      </c>
      <c r="E9" s="50" t="s">
        <v>273</v>
      </c>
      <c r="F9" s="50" t="s">
        <v>326</v>
      </c>
    </row>
    <row r="10" customFormat="false" ht="23.85" hidden="false" customHeight="false" outlineLevel="0" collapsed="false">
      <c r="A10" s="23" t="s">
        <v>327</v>
      </c>
      <c r="B10" s="51" t="n">
        <v>2</v>
      </c>
      <c r="C10" s="23" t="s">
        <v>328</v>
      </c>
      <c r="D10" s="43" t="n">
        <v>18</v>
      </c>
      <c r="E10" s="52" t="s">
        <v>329</v>
      </c>
      <c r="F10" s="52" t="s">
        <v>330</v>
      </c>
    </row>
    <row r="11" customFormat="false" ht="23.85" hidden="false" customHeight="false" outlineLevel="0" collapsed="false">
      <c r="A11" s="22" t="s">
        <v>331</v>
      </c>
      <c r="B11" s="49" t="n">
        <v>1</v>
      </c>
      <c r="C11" s="22" t="s">
        <v>332</v>
      </c>
      <c r="D11" s="35" t="n">
        <v>18</v>
      </c>
      <c r="E11" s="50" t="s">
        <v>275</v>
      </c>
      <c r="F11" s="50" t="s">
        <v>333</v>
      </c>
    </row>
    <row r="12" customFormat="false" ht="15" hidden="false" customHeight="false" outlineLevel="0" collapsed="false">
      <c r="A12" s="23" t="s">
        <v>334</v>
      </c>
      <c r="B12" s="51" t="n">
        <v>1</v>
      </c>
      <c r="C12" s="23" t="s">
        <v>335</v>
      </c>
      <c r="D12" s="43" t="n">
        <v>17</v>
      </c>
      <c r="E12" s="52" t="s">
        <v>336</v>
      </c>
      <c r="F12" s="52" t="s">
        <v>337</v>
      </c>
    </row>
    <row r="13" customFormat="false" ht="15" hidden="false" customHeight="false" outlineLevel="0" collapsed="false">
      <c r="A13" s="22" t="s">
        <v>338</v>
      </c>
      <c r="B13" s="49" t="n">
        <v>1</v>
      </c>
      <c r="C13" s="22" t="s">
        <v>339</v>
      </c>
      <c r="D13" s="35" t="n">
        <v>16</v>
      </c>
      <c r="E13" s="50" t="s">
        <v>336</v>
      </c>
      <c r="F13" s="50" t="s">
        <v>340</v>
      </c>
    </row>
    <row r="14" customFormat="false" ht="15" hidden="false" customHeight="false" outlineLevel="0" collapsed="false">
      <c r="A14" s="23" t="s">
        <v>341</v>
      </c>
      <c r="B14" s="51" t="n">
        <v>1</v>
      </c>
      <c r="C14" s="23" t="s">
        <v>342</v>
      </c>
      <c r="D14" s="43" t="n">
        <v>15</v>
      </c>
      <c r="E14" s="52" t="s">
        <v>275</v>
      </c>
      <c r="F14" s="52" t="s">
        <v>343</v>
      </c>
    </row>
    <row r="15" customFormat="false" ht="15" hidden="false" customHeight="false" outlineLevel="0" collapsed="false">
      <c r="A15" s="22" t="s">
        <v>344</v>
      </c>
      <c r="B15" s="49" t="n">
        <v>1</v>
      </c>
      <c r="C15" s="22" t="s">
        <v>345</v>
      </c>
      <c r="D15" s="35" t="n">
        <v>50</v>
      </c>
      <c r="E15" s="50" t="s">
        <v>346</v>
      </c>
      <c r="F15" s="50" t="s">
        <v>347</v>
      </c>
    </row>
    <row r="16" customFormat="false" ht="15" hidden="false" customHeight="false" outlineLevel="0" collapsed="false">
      <c r="A16" s="23" t="s">
        <v>348</v>
      </c>
      <c r="B16" s="51" t="n">
        <v>1</v>
      </c>
      <c r="C16" s="23" t="s">
        <v>349</v>
      </c>
      <c r="D16" s="43" t="n">
        <v>20</v>
      </c>
      <c r="E16" s="52" t="s">
        <v>277</v>
      </c>
      <c r="F16" s="52" t="s">
        <v>350</v>
      </c>
    </row>
    <row r="17" customFormat="false" ht="23.85" hidden="false" customHeight="false" outlineLevel="0" collapsed="false">
      <c r="A17" s="22" t="s">
        <v>351</v>
      </c>
      <c r="B17" s="49" t="n">
        <v>1</v>
      </c>
      <c r="C17" s="22" t="s">
        <v>352</v>
      </c>
      <c r="D17" s="35" t="n">
        <v>9</v>
      </c>
      <c r="E17" s="50" t="s">
        <v>329</v>
      </c>
      <c r="F17" s="50" t="s">
        <v>353</v>
      </c>
    </row>
    <row r="18" customFormat="false" ht="15" hidden="false" customHeight="false" outlineLevel="0" collapsed="false">
      <c r="A18" s="23" t="s">
        <v>354</v>
      </c>
      <c r="B18" s="51" t="n">
        <v>1</v>
      </c>
      <c r="C18" s="23" t="s">
        <v>355</v>
      </c>
      <c r="D18" s="43" t="n">
        <v>7</v>
      </c>
      <c r="E18" s="52" t="s">
        <v>329</v>
      </c>
      <c r="F18" s="52" t="s">
        <v>356</v>
      </c>
    </row>
    <row r="19" customFormat="false" ht="23.85" hidden="false" customHeight="false" outlineLevel="0" collapsed="false">
      <c r="A19" s="22" t="s">
        <v>357</v>
      </c>
      <c r="B19" s="49" t="n">
        <v>1</v>
      </c>
      <c r="C19" s="22" t="s">
        <v>358</v>
      </c>
      <c r="D19" s="35" t="n">
        <v>58</v>
      </c>
      <c r="E19" s="50" t="s">
        <v>359</v>
      </c>
      <c r="F19" s="50" t="s">
        <v>360</v>
      </c>
    </row>
    <row r="20" customFormat="false" ht="15" hidden="false" customHeight="false" outlineLevel="0" collapsed="false">
      <c r="A20" s="23" t="s">
        <v>361</v>
      </c>
      <c r="B20" s="51" t="n">
        <v>1</v>
      </c>
      <c r="C20" s="23" t="s">
        <v>362</v>
      </c>
      <c r="D20" s="43" t="n">
        <v>43</v>
      </c>
      <c r="E20" s="52" t="s">
        <v>279</v>
      </c>
      <c r="F20" s="52" t="s">
        <v>363</v>
      </c>
    </row>
    <row r="21" customFormat="false" ht="23.85" hidden="false" customHeight="false" outlineLevel="0" collapsed="false">
      <c r="A21" s="22" t="s">
        <v>364</v>
      </c>
      <c r="B21" s="49" t="n">
        <v>1</v>
      </c>
      <c r="C21" s="22" t="s">
        <v>365</v>
      </c>
      <c r="D21" s="35" t="n">
        <v>32</v>
      </c>
      <c r="E21" s="50" t="s">
        <v>279</v>
      </c>
      <c r="F21" s="50" t="s">
        <v>366</v>
      </c>
    </row>
    <row r="22" customFormat="false" ht="15" hidden="false" customHeight="false" outlineLevel="0" collapsed="false">
      <c r="A22" s="23" t="s">
        <v>367</v>
      </c>
      <c r="B22" s="51" t="n">
        <v>1</v>
      </c>
      <c r="C22" s="23" t="s">
        <v>362</v>
      </c>
      <c r="D22" s="43" t="n">
        <v>26</v>
      </c>
      <c r="E22" s="52" t="s">
        <v>359</v>
      </c>
      <c r="F22" s="52" t="s">
        <v>368</v>
      </c>
    </row>
    <row r="23" customFormat="false" ht="15" hidden="false" customHeight="false" outlineLevel="0" collapsed="false">
      <c r="A23" s="22" t="s">
        <v>369</v>
      </c>
      <c r="B23" s="49" t="n">
        <v>1</v>
      </c>
      <c r="C23" s="22" t="s">
        <v>370</v>
      </c>
      <c r="D23" s="35" t="n">
        <v>24</v>
      </c>
      <c r="E23" s="50" t="s">
        <v>371</v>
      </c>
      <c r="F23" s="50" t="s">
        <v>372</v>
      </c>
    </row>
    <row r="24" customFormat="false" ht="15" hidden="false" customHeight="false" outlineLevel="0" collapsed="false">
      <c r="A24" s="23" t="s">
        <v>373</v>
      </c>
      <c r="B24" s="51" t="n">
        <v>2</v>
      </c>
      <c r="C24" s="23" t="s">
        <v>374</v>
      </c>
      <c r="D24" s="43" t="n">
        <v>22</v>
      </c>
      <c r="E24" s="52" t="s">
        <v>281</v>
      </c>
      <c r="F24" s="52" t="s">
        <v>375</v>
      </c>
    </row>
    <row r="25" customFormat="false" ht="15" hidden="false" customHeight="false" outlineLevel="0" collapsed="false">
      <c r="A25" s="22" t="s">
        <v>376</v>
      </c>
      <c r="B25" s="49" t="n">
        <v>1</v>
      </c>
      <c r="C25" s="22" t="s">
        <v>377</v>
      </c>
      <c r="D25" s="35" t="n">
        <v>1</v>
      </c>
      <c r="E25" s="50" t="s">
        <v>378</v>
      </c>
      <c r="F25" s="50" t="s">
        <v>379</v>
      </c>
    </row>
    <row r="26" customFormat="false" ht="15" hidden="false" customHeight="false" outlineLevel="0" collapsed="false">
      <c r="A26" s="23" t="s">
        <v>380</v>
      </c>
      <c r="B26" s="51" t="n">
        <v>1</v>
      </c>
      <c r="C26" s="23" t="s">
        <v>381</v>
      </c>
      <c r="D26" s="43" t="n">
        <v>0</v>
      </c>
      <c r="E26" s="52" t="s">
        <v>382</v>
      </c>
      <c r="F26" s="52" t="s">
        <v>383</v>
      </c>
    </row>
    <row r="27" customFormat="false" ht="15" hidden="false" customHeight="false" outlineLevel="0" collapsed="false">
      <c r="A27" s="22" t="s">
        <v>384</v>
      </c>
      <c r="B27" s="49" t="n">
        <v>1</v>
      </c>
      <c r="C27" s="22" t="s">
        <v>385</v>
      </c>
      <c r="D27" s="35" t="n">
        <v>50</v>
      </c>
      <c r="E27" s="50" t="s">
        <v>283</v>
      </c>
      <c r="F27" s="50" t="s">
        <v>386</v>
      </c>
    </row>
    <row r="28" customFormat="false" ht="23.85" hidden="false" customHeight="false" outlineLevel="0" collapsed="false">
      <c r="A28" s="23" t="s">
        <v>387</v>
      </c>
      <c r="B28" s="51" t="n">
        <v>1</v>
      </c>
      <c r="C28" s="23" t="s">
        <v>388</v>
      </c>
      <c r="D28" s="43" t="n">
        <v>46</v>
      </c>
      <c r="E28" s="52" t="s">
        <v>283</v>
      </c>
      <c r="F28" s="52" t="s">
        <v>389</v>
      </c>
    </row>
    <row r="29" customFormat="false" ht="15" hidden="false" customHeight="false" outlineLevel="0" collapsed="false">
      <c r="A29" s="22" t="s">
        <v>390</v>
      </c>
      <c r="B29" s="49" t="n">
        <v>1</v>
      </c>
      <c r="C29" s="22" t="s">
        <v>391</v>
      </c>
      <c r="D29" s="35" t="n">
        <v>42</v>
      </c>
      <c r="E29" s="50" t="s">
        <v>283</v>
      </c>
      <c r="F29" s="50" t="s">
        <v>392</v>
      </c>
    </row>
    <row r="30" customFormat="false" ht="15" hidden="false" customHeight="false" outlineLevel="0" collapsed="false">
      <c r="A30" s="23" t="s">
        <v>393</v>
      </c>
      <c r="B30" s="51" t="n">
        <v>1</v>
      </c>
      <c r="C30" s="23" t="s">
        <v>394</v>
      </c>
      <c r="D30" s="43" t="n">
        <v>46</v>
      </c>
      <c r="E30" s="52" t="s">
        <v>285</v>
      </c>
      <c r="F30" s="52" t="s">
        <v>395</v>
      </c>
    </row>
    <row r="31" customFormat="false" ht="23.85" hidden="false" customHeight="false" outlineLevel="0" collapsed="false">
      <c r="A31" s="22" t="s">
        <v>396</v>
      </c>
      <c r="B31" s="49" t="n">
        <v>1</v>
      </c>
      <c r="C31" s="22" t="s">
        <v>397</v>
      </c>
      <c r="D31" s="35" t="n">
        <v>17</v>
      </c>
      <c r="E31" s="50" t="s">
        <v>398</v>
      </c>
      <c r="F31" s="50" t="s">
        <v>399</v>
      </c>
    </row>
    <row r="32" customFormat="false" ht="15" hidden="false" customHeight="false" outlineLevel="0" collapsed="false">
      <c r="A32" s="23" t="s">
        <v>400</v>
      </c>
      <c r="B32" s="51" t="n">
        <v>1</v>
      </c>
      <c r="C32" s="23" t="s">
        <v>401</v>
      </c>
      <c r="D32" s="43" t="n">
        <v>10</v>
      </c>
      <c r="E32" s="52" t="s">
        <v>285</v>
      </c>
      <c r="F32" s="52" t="s">
        <v>402</v>
      </c>
    </row>
    <row r="33" customFormat="false" ht="15" hidden="false" customHeight="false" outlineLevel="0" collapsed="false">
      <c r="A33" s="22" t="s">
        <v>403</v>
      </c>
      <c r="B33" s="49" t="n">
        <v>1</v>
      </c>
      <c r="C33" s="22" t="s">
        <v>404</v>
      </c>
      <c r="D33" s="35" t="n">
        <v>8</v>
      </c>
      <c r="E33" s="50" t="s">
        <v>285</v>
      </c>
      <c r="F33" s="50" t="s">
        <v>405</v>
      </c>
    </row>
    <row r="34" customFormat="false" ht="15" hidden="false" customHeight="false" outlineLevel="0" collapsed="false">
      <c r="A34" s="23" t="s">
        <v>406</v>
      </c>
      <c r="B34" s="51" t="n">
        <v>1</v>
      </c>
      <c r="C34" s="23" t="s">
        <v>407</v>
      </c>
      <c r="D34" s="43" t="n">
        <v>17</v>
      </c>
      <c r="E34" s="52" t="s">
        <v>289</v>
      </c>
      <c r="F34" s="52" t="s">
        <v>408</v>
      </c>
    </row>
    <row r="35" customFormat="false" ht="15" hidden="false" customHeight="false" outlineLevel="0" collapsed="false">
      <c r="A35" s="22" t="s">
        <v>409</v>
      </c>
      <c r="B35" s="49" t="n">
        <v>1</v>
      </c>
      <c r="C35" s="22" t="s">
        <v>410</v>
      </c>
      <c r="D35" s="35" t="n">
        <v>4</v>
      </c>
      <c r="E35" s="50" t="s">
        <v>289</v>
      </c>
      <c r="F35" s="50" t="s">
        <v>411</v>
      </c>
    </row>
    <row r="36" customFormat="false" ht="15" hidden="false" customHeight="false" outlineLevel="0" collapsed="false">
      <c r="A36" s="23" t="s">
        <v>412</v>
      </c>
      <c r="B36" s="51" t="n">
        <v>1</v>
      </c>
      <c r="C36" s="23" t="s">
        <v>413</v>
      </c>
      <c r="D36" s="43" t="n">
        <v>3</v>
      </c>
      <c r="E36" s="52" t="s">
        <v>289</v>
      </c>
      <c r="F36" s="52" t="s">
        <v>414</v>
      </c>
    </row>
    <row r="37" customFormat="false" ht="15" hidden="false" customHeight="false" outlineLevel="0" collapsed="false">
      <c r="A37" s="22" t="s">
        <v>415</v>
      </c>
      <c r="B37" s="49" t="n">
        <v>1</v>
      </c>
      <c r="C37" s="22" t="s">
        <v>416</v>
      </c>
      <c r="D37" s="35" t="n">
        <v>0</v>
      </c>
      <c r="E37" s="50" t="s">
        <v>289</v>
      </c>
      <c r="F37" s="50" t="s">
        <v>417</v>
      </c>
    </row>
    <row r="38" customFormat="false" ht="15" hidden="false" customHeight="false" outlineLevel="0" collapsed="false">
      <c r="A38" s="23" t="s">
        <v>418</v>
      </c>
      <c r="B38" s="51" t="n">
        <v>1</v>
      </c>
      <c r="C38" s="23" t="s">
        <v>419</v>
      </c>
      <c r="D38" s="43" t="n">
        <v>0</v>
      </c>
      <c r="E38" s="52" t="s">
        <v>420</v>
      </c>
      <c r="F38" s="52" t="s">
        <v>421</v>
      </c>
    </row>
    <row r="39" customFormat="false" ht="23.85" hidden="false" customHeight="false" outlineLevel="0" collapsed="false">
      <c r="A39" s="22" t="s">
        <v>422</v>
      </c>
      <c r="B39" s="49" t="n">
        <v>1</v>
      </c>
      <c r="C39" s="22" t="s">
        <v>423</v>
      </c>
      <c r="D39" s="35" t="n">
        <v>15</v>
      </c>
      <c r="E39" s="50" t="s">
        <v>291</v>
      </c>
      <c r="F39" s="50" t="s">
        <v>424</v>
      </c>
    </row>
    <row r="40" customFormat="false" ht="15" hidden="false" customHeight="false" outlineLevel="0" collapsed="false">
      <c r="A40" s="23" t="s">
        <v>425</v>
      </c>
      <c r="B40" s="51" t="n">
        <v>1</v>
      </c>
      <c r="C40" s="23" t="s">
        <v>426</v>
      </c>
      <c r="D40" s="43" t="n">
        <v>5</v>
      </c>
      <c r="E40" s="52" t="s">
        <v>427</v>
      </c>
      <c r="F40" s="52" t="s">
        <v>428</v>
      </c>
    </row>
    <row r="41" customFormat="false" ht="15" hidden="false" customHeight="false" outlineLevel="0" collapsed="false">
      <c r="A41" s="22" t="s">
        <v>429</v>
      </c>
      <c r="B41" s="49" t="n">
        <v>1</v>
      </c>
      <c r="C41" s="22" t="s">
        <v>430</v>
      </c>
      <c r="D41" s="35" t="n">
        <v>1</v>
      </c>
      <c r="E41" s="50" t="s">
        <v>431</v>
      </c>
      <c r="F41" s="50" t="s">
        <v>432</v>
      </c>
    </row>
    <row r="42" customFormat="false" ht="15" hidden="false" customHeight="false" outlineLevel="0" collapsed="false">
      <c r="A42" s="23" t="s">
        <v>433</v>
      </c>
      <c r="B42" s="51" t="n">
        <v>1</v>
      </c>
      <c r="C42" s="23" t="s">
        <v>434</v>
      </c>
      <c r="D42" s="43" t="n">
        <v>0</v>
      </c>
      <c r="E42" s="52" t="s">
        <v>293</v>
      </c>
      <c r="F42" s="52" t="s">
        <v>435</v>
      </c>
    </row>
    <row r="43" customFormat="false" ht="23.85" hidden="false" customHeight="false" outlineLevel="0" collapsed="false">
      <c r="A43" s="22" t="s">
        <v>436</v>
      </c>
      <c r="B43" s="49" t="n">
        <v>5</v>
      </c>
      <c r="C43" s="22" t="s">
        <v>437</v>
      </c>
      <c r="D43" s="35" t="n">
        <v>13</v>
      </c>
      <c r="E43" s="50" t="s">
        <v>438</v>
      </c>
      <c r="F43" s="50" t="s">
        <v>439</v>
      </c>
    </row>
    <row r="44" customFormat="false" ht="15" hidden="false" customHeight="false" outlineLevel="0" collapsed="false">
      <c r="A44" s="23" t="s">
        <v>440</v>
      </c>
      <c r="B44" s="51" t="n">
        <v>4</v>
      </c>
      <c r="C44" s="23" t="s">
        <v>441</v>
      </c>
      <c r="D44" s="43" t="n">
        <v>0</v>
      </c>
      <c r="E44" s="52" t="s">
        <v>287</v>
      </c>
      <c r="F44" s="52" t="s">
        <v>442</v>
      </c>
    </row>
    <row r="45" customFormat="false" ht="15" hidden="false" customHeight="false" outlineLevel="0" collapsed="false">
      <c r="A45" s="22" t="s">
        <v>443</v>
      </c>
      <c r="B45" s="49" t="n">
        <v>5</v>
      </c>
      <c r="C45" s="22" t="s">
        <v>444</v>
      </c>
      <c r="D45" s="35" t="n">
        <v>0</v>
      </c>
      <c r="E45" s="50" t="s">
        <v>287</v>
      </c>
      <c r="F45" s="50" t="s">
        <v>445</v>
      </c>
    </row>
    <row r="46" customFormat="false" ht="15" hidden="false" customHeight="false" outlineLevel="0" collapsed="false">
      <c r="A46" s="23" t="s">
        <v>446</v>
      </c>
      <c r="B46" s="51" t="n">
        <v>5</v>
      </c>
      <c r="C46" s="23" t="s">
        <v>447</v>
      </c>
      <c r="D46" s="43" t="n">
        <v>31</v>
      </c>
      <c r="E46" s="52" t="s">
        <v>448</v>
      </c>
      <c r="F46" s="52" t="s">
        <v>449</v>
      </c>
    </row>
    <row r="47" customFormat="false" ht="15" hidden="false" customHeight="false" outlineLevel="0" collapsed="false">
      <c r="A47" s="22" t="s">
        <v>450</v>
      </c>
      <c r="B47" s="49" t="n">
        <v>4</v>
      </c>
      <c r="C47" s="22" t="s">
        <v>447</v>
      </c>
      <c r="D47" s="35" t="n">
        <v>24</v>
      </c>
      <c r="E47" s="50"/>
      <c r="F47" s="50" t="s">
        <v>451</v>
      </c>
    </row>
    <row r="48" customFormat="false" ht="23.85" hidden="false" customHeight="false" outlineLevel="0" collapsed="false">
      <c r="A48" s="23" t="s">
        <v>452</v>
      </c>
      <c r="B48" s="51" t="n">
        <v>5</v>
      </c>
      <c r="C48" s="23" t="s">
        <v>453</v>
      </c>
      <c r="D48" s="43" t="n">
        <v>24</v>
      </c>
      <c r="E48" s="52" t="s">
        <v>454</v>
      </c>
      <c r="F48" s="52" t="s">
        <v>455</v>
      </c>
    </row>
    <row r="49" customFormat="false" ht="15" hidden="false" customHeight="false" outlineLevel="0" collapsed="false">
      <c r="A49" s="22" t="s">
        <v>456</v>
      </c>
      <c r="B49" s="49" t="n">
        <v>5</v>
      </c>
      <c r="C49" s="22" t="s">
        <v>457</v>
      </c>
      <c r="D49" s="35" t="n">
        <v>20</v>
      </c>
      <c r="E49" s="50" t="s">
        <v>275</v>
      </c>
      <c r="F49" s="50" t="s">
        <v>458</v>
      </c>
    </row>
    <row r="50" customFormat="false" ht="23.85" hidden="false" customHeight="false" outlineLevel="0" collapsed="false">
      <c r="A50" s="23" t="s">
        <v>459</v>
      </c>
      <c r="B50" s="51" t="n">
        <v>5</v>
      </c>
      <c r="C50" s="23" t="s">
        <v>460</v>
      </c>
      <c r="D50" s="43" t="n">
        <v>19</v>
      </c>
      <c r="E50" s="52"/>
      <c r="F50" s="52" t="s">
        <v>461</v>
      </c>
    </row>
    <row r="51" customFormat="false" ht="15" hidden="false" customHeight="false" outlineLevel="0" collapsed="false">
      <c r="A51" s="22" t="s">
        <v>462</v>
      </c>
      <c r="B51" s="49" t="n">
        <v>5</v>
      </c>
      <c r="C51" s="22" t="s">
        <v>463</v>
      </c>
      <c r="D51" s="35" t="n">
        <v>19</v>
      </c>
      <c r="E51" s="50"/>
      <c r="F51" s="50" t="s">
        <v>464</v>
      </c>
    </row>
    <row r="52" customFormat="false" ht="15" hidden="false" customHeight="false" outlineLevel="0" collapsed="false">
      <c r="A52" s="23" t="s">
        <v>465</v>
      </c>
      <c r="B52" s="51" t="n">
        <v>4</v>
      </c>
      <c r="C52" s="23" t="s">
        <v>466</v>
      </c>
      <c r="D52" s="43" t="n">
        <v>18</v>
      </c>
      <c r="E52" s="52" t="s">
        <v>275</v>
      </c>
      <c r="F52" s="52" t="s">
        <v>467</v>
      </c>
    </row>
    <row r="53" customFormat="false" ht="15" hidden="false" customHeight="false" outlineLevel="0" collapsed="false">
      <c r="A53" s="22" t="s">
        <v>468</v>
      </c>
      <c r="B53" s="49" t="n">
        <v>5</v>
      </c>
      <c r="C53" s="22" t="s">
        <v>469</v>
      </c>
      <c r="D53" s="35" t="n">
        <v>18</v>
      </c>
      <c r="E53" s="50" t="s">
        <v>289</v>
      </c>
      <c r="F53" s="50" t="s">
        <v>470</v>
      </c>
    </row>
    <row r="54" customFormat="false" ht="23.85" hidden="false" customHeight="false" outlineLevel="0" collapsed="false">
      <c r="A54" s="23" t="s">
        <v>471</v>
      </c>
      <c r="B54" s="51" t="n">
        <v>4</v>
      </c>
      <c r="C54" s="23" t="s">
        <v>472</v>
      </c>
      <c r="D54" s="43" t="n">
        <v>17</v>
      </c>
      <c r="E54" s="52" t="s">
        <v>473</v>
      </c>
      <c r="F54" s="52" t="s">
        <v>474</v>
      </c>
    </row>
  </sheetData>
  <autoFilter ref="A4:F5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8" min="2" style="0" width="13"/>
    <col collapsed="false" customWidth="true" hidden="false" outlineLevel="0" max="9" min="9" style="0" width="14"/>
    <col collapsed="false" customWidth="true" hidden="false" outlineLevel="0" max="10" min="10" style="0" width="13"/>
    <col collapsed="false" customWidth="true" hidden="false" outlineLevel="0" max="11" min="11" style="0" width="44"/>
  </cols>
  <sheetData>
    <row r="1" customFormat="false" ht="17.35" hidden="false" customHeight="false" outlineLevel="0" collapsed="false">
      <c r="A1" s="1" t="s">
        <v>475</v>
      </c>
    </row>
    <row r="2" customFormat="false" ht="15" hidden="false" customHeight="false" outlineLevel="0" collapsed="false">
      <c r="A2" s="8" t="s">
        <v>476</v>
      </c>
    </row>
    <row r="4" customFormat="false" ht="15" hidden="false" customHeight="false" outlineLevel="0" collapsed="false">
      <c r="A4" s="5" t="s">
        <v>477</v>
      </c>
    </row>
    <row r="5" customFormat="false" ht="15" hidden="false" customHeight="true" outlineLevel="0" collapsed="false">
      <c r="A5" s="53" t="s">
        <v>478</v>
      </c>
      <c r="B5" s="54" t="n">
        <v>80.6</v>
      </c>
      <c r="C5" s="14" t="s">
        <v>479</v>
      </c>
      <c r="D5" s="14"/>
      <c r="E5" s="14"/>
      <c r="F5" s="14"/>
      <c r="G5" s="14"/>
      <c r="H5" s="14"/>
      <c r="I5" s="14"/>
      <c r="J5" s="14"/>
      <c r="K5" s="14"/>
    </row>
    <row r="7" customFormat="false" ht="15" hidden="false" customHeight="false" outlineLevel="0" collapsed="false">
      <c r="A7" s="5" t="s">
        <v>480</v>
      </c>
    </row>
    <row r="8" customFormat="false" ht="30" hidden="false" customHeight="true" outlineLevel="0" collapsed="false">
      <c r="A8" s="9" t="s">
        <v>481</v>
      </c>
      <c r="B8" s="9" t="s">
        <v>482</v>
      </c>
      <c r="C8" s="10" t="s">
        <v>483</v>
      </c>
      <c r="D8" s="10"/>
      <c r="E8" s="10"/>
      <c r="F8" s="10"/>
      <c r="G8" s="10"/>
      <c r="H8" s="10"/>
      <c r="I8" s="10"/>
      <c r="J8" s="10"/>
      <c r="K8" s="10" t="s">
        <v>484</v>
      </c>
    </row>
    <row r="9" customFormat="false" ht="15" hidden="false" customHeight="true" outlineLevel="0" collapsed="false">
      <c r="A9" s="23" t="s">
        <v>485</v>
      </c>
      <c r="B9" s="23" t="s">
        <v>486</v>
      </c>
      <c r="C9" s="52" t="s">
        <v>487</v>
      </c>
      <c r="D9" s="52"/>
      <c r="E9" s="52"/>
      <c r="F9" s="52"/>
      <c r="G9" s="52"/>
      <c r="H9" s="52"/>
      <c r="I9" s="52"/>
      <c r="J9" s="52"/>
      <c r="K9" s="51" t="n">
        <v>29</v>
      </c>
    </row>
    <row r="10" customFormat="false" ht="15" hidden="false" customHeight="true" outlineLevel="0" collapsed="false">
      <c r="A10" s="22" t="s">
        <v>485</v>
      </c>
      <c r="B10" s="22" t="s">
        <v>488</v>
      </c>
      <c r="C10" s="50" t="s">
        <v>489</v>
      </c>
      <c r="D10" s="50"/>
      <c r="E10" s="50"/>
      <c r="F10" s="50"/>
      <c r="G10" s="50"/>
      <c r="H10" s="50"/>
      <c r="I10" s="50"/>
      <c r="J10" s="50"/>
      <c r="K10" s="49" t="n">
        <v>32</v>
      </c>
    </row>
    <row r="11" customFormat="false" ht="15" hidden="false" customHeight="true" outlineLevel="0" collapsed="false">
      <c r="A11" s="23" t="s">
        <v>485</v>
      </c>
      <c r="B11" s="23" t="s">
        <v>490</v>
      </c>
      <c r="C11" s="52" t="s">
        <v>491</v>
      </c>
      <c r="D11" s="52"/>
      <c r="E11" s="52"/>
      <c r="F11" s="52"/>
      <c r="G11" s="52"/>
      <c r="H11" s="52"/>
      <c r="I11" s="52"/>
      <c r="J11" s="52"/>
      <c r="K11" s="51" t="n">
        <v>33</v>
      </c>
    </row>
    <row r="12" customFormat="false" ht="15" hidden="false" customHeight="true" outlineLevel="0" collapsed="false">
      <c r="A12" s="22" t="s">
        <v>485</v>
      </c>
      <c r="B12" s="22" t="s">
        <v>492</v>
      </c>
      <c r="C12" s="50" t="s">
        <v>493</v>
      </c>
      <c r="D12" s="50"/>
      <c r="E12" s="50"/>
      <c r="F12" s="50"/>
      <c r="G12" s="50"/>
      <c r="H12" s="50"/>
      <c r="I12" s="50"/>
      <c r="J12" s="50"/>
      <c r="K12" s="49" t="n">
        <v>34</v>
      </c>
    </row>
    <row r="13" customFormat="false" ht="15" hidden="false" customHeight="true" outlineLevel="0" collapsed="false">
      <c r="A13" s="23" t="s">
        <v>485</v>
      </c>
      <c r="B13" s="23" t="s">
        <v>494</v>
      </c>
      <c r="C13" s="52" t="s">
        <v>495</v>
      </c>
      <c r="D13" s="52"/>
      <c r="E13" s="52"/>
      <c r="F13" s="52"/>
      <c r="G13" s="52"/>
      <c r="H13" s="52"/>
      <c r="I13" s="52"/>
      <c r="J13" s="52"/>
      <c r="K13" s="51" t="n">
        <v>31</v>
      </c>
    </row>
    <row r="14" customFormat="false" ht="15" hidden="false" customHeight="true" outlineLevel="0" collapsed="false">
      <c r="A14" s="22" t="s">
        <v>485</v>
      </c>
      <c r="B14" s="22" t="s">
        <v>496</v>
      </c>
      <c r="C14" s="50" t="s">
        <v>497</v>
      </c>
      <c r="D14" s="50"/>
      <c r="E14" s="50"/>
      <c r="F14" s="50"/>
      <c r="G14" s="50"/>
      <c r="H14" s="50"/>
      <c r="I14" s="50"/>
      <c r="J14" s="50"/>
      <c r="K14" s="49" t="n">
        <v>45</v>
      </c>
    </row>
    <row r="15" customFormat="false" ht="15" hidden="false" customHeight="true" outlineLevel="0" collapsed="false">
      <c r="A15" s="23" t="s">
        <v>498</v>
      </c>
      <c r="B15" s="23" t="s">
        <v>499</v>
      </c>
      <c r="C15" s="52" t="s">
        <v>500</v>
      </c>
      <c r="D15" s="52"/>
      <c r="E15" s="52"/>
      <c r="F15" s="52"/>
      <c r="G15" s="52"/>
      <c r="H15" s="52"/>
      <c r="I15" s="52"/>
      <c r="J15" s="52"/>
      <c r="K15" s="51" t="n">
        <v>8</v>
      </c>
    </row>
    <row r="16" customFormat="false" ht="15" hidden="false" customHeight="true" outlineLevel="0" collapsed="false">
      <c r="A16" s="22" t="s">
        <v>498</v>
      </c>
      <c r="B16" s="22" t="s">
        <v>501</v>
      </c>
      <c r="C16" s="50" t="s">
        <v>502</v>
      </c>
      <c r="D16" s="50"/>
      <c r="E16" s="50"/>
      <c r="F16" s="50"/>
      <c r="G16" s="50"/>
      <c r="H16" s="50"/>
      <c r="I16" s="50"/>
      <c r="J16" s="50"/>
      <c r="K16" s="49" t="n">
        <v>52</v>
      </c>
    </row>
    <row r="17" customFormat="false" ht="15" hidden="false" customHeight="true" outlineLevel="0" collapsed="false">
      <c r="A17" s="23" t="s">
        <v>498</v>
      </c>
      <c r="B17" s="23" t="s">
        <v>503</v>
      </c>
      <c r="C17" s="52" t="s">
        <v>504</v>
      </c>
      <c r="D17" s="52"/>
      <c r="E17" s="52"/>
      <c r="F17" s="52"/>
      <c r="G17" s="52"/>
      <c r="H17" s="52"/>
      <c r="I17" s="52"/>
      <c r="J17" s="52"/>
      <c r="K17" s="51" t="n">
        <v>51</v>
      </c>
    </row>
    <row r="18" customFormat="false" ht="15" hidden="false" customHeight="true" outlineLevel="0" collapsed="false">
      <c r="A18" s="22" t="s">
        <v>498</v>
      </c>
      <c r="B18" s="22" t="s">
        <v>505</v>
      </c>
      <c r="C18" s="50" t="s">
        <v>506</v>
      </c>
      <c r="D18" s="50"/>
      <c r="E18" s="50"/>
      <c r="F18" s="50"/>
      <c r="G18" s="50"/>
      <c r="H18" s="50"/>
      <c r="I18" s="50"/>
      <c r="J18" s="50"/>
      <c r="K18" s="49" t="n">
        <v>19</v>
      </c>
    </row>
    <row r="19" customFormat="false" ht="15" hidden="false" customHeight="true" outlineLevel="0" collapsed="false">
      <c r="A19" s="23" t="s">
        <v>498</v>
      </c>
      <c r="B19" s="23" t="s">
        <v>507</v>
      </c>
      <c r="C19" s="52" t="s">
        <v>508</v>
      </c>
      <c r="D19" s="52"/>
      <c r="E19" s="52"/>
      <c r="F19" s="52"/>
      <c r="G19" s="52"/>
      <c r="H19" s="52"/>
      <c r="I19" s="52"/>
      <c r="J19" s="52"/>
      <c r="K19" s="51" t="n">
        <v>27</v>
      </c>
    </row>
    <row r="20" customFormat="false" ht="15" hidden="false" customHeight="true" outlineLevel="0" collapsed="false">
      <c r="A20" s="22" t="s">
        <v>498</v>
      </c>
      <c r="B20" s="22" t="s">
        <v>509</v>
      </c>
      <c r="C20" s="50" t="s">
        <v>510</v>
      </c>
      <c r="D20" s="50"/>
      <c r="E20" s="50"/>
      <c r="F20" s="50"/>
      <c r="G20" s="50"/>
      <c r="H20" s="50"/>
      <c r="I20" s="50"/>
      <c r="J20" s="50"/>
      <c r="K20" s="49" t="n">
        <v>39</v>
      </c>
    </row>
    <row r="22" customFormat="false" ht="15" hidden="false" customHeight="false" outlineLevel="0" collapsed="false">
      <c r="A22" s="5" t="s">
        <v>511</v>
      </c>
    </row>
    <row r="23" customFormat="false" ht="45.75" hidden="false" customHeight="true" outlineLevel="0" collapsed="false">
      <c r="A23" s="9" t="s">
        <v>512</v>
      </c>
      <c r="B23" s="10" t="s">
        <v>513</v>
      </c>
      <c r="C23" s="10" t="s">
        <v>514</v>
      </c>
      <c r="D23" s="10" t="s">
        <v>515</v>
      </c>
      <c r="E23" s="10" t="s">
        <v>516</v>
      </c>
      <c r="F23" s="10" t="s">
        <v>517</v>
      </c>
      <c r="G23" s="10" t="s">
        <v>518</v>
      </c>
      <c r="H23" s="10" t="s">
        <v>519</v>
      </c>
      <c r="I23" s="10" t="s">
        <v>520</v>
      </c>
      <c r="J23" s="10" t="s">
        <v>521</v>
      </c>
      <c r="K23" s="10" t="s">
        <v>202</v>
      </c>
    </row>
    <row r="24" customFormat="false" ht="15" hidden="false" customHeight="false" outlineLevel="0" collapsed="false">
      <c r="A24" s="15" t="s">
        <v>522</v>
      </c>
      <c r="B24" s="55" t="n">
        <f aca="false">AVERAGE('Segments 2024'!D29,'Segments 2024'!D32,'Segments 2024'!D33,'Segments 2024'!D34,'Segments 2024'!D31,'Segments 2024'!D45)</f>
        <v>36.84</v>
      </c>
      <c r="C24" s="55" t="n">
        <f aca="false">AVERAGE('Segments 2024'!D8,'Segments 2024'!D52,'Segments 2024'!D51,'Segments 2024'!D19,'Segments 2024'!D27,'Segments 2024'!D39)</f>
        <v>59.3883333333333</v>
      </c>
      <c r="D24" s="18" t="n">
        <f aca="false">AVERAGE(B24,C24)</f>
        <v>48.1141666666667</v>
      </c>
      <c r="E24" s="55" t="n">
        <f aca="false">'Segments 2024'!D5</f>
        <v>70.55</v>
      </c>
      <c r="F24" s="55" t="n">
        <f aca="false">'Segments 2024'!D29</f>
        <v>43.09</v>
      </c>
      <c r="G24" s="18" t="n">
        <f aca="false">E24-F24</f>
        <v>27.46</v>
      </c>
      <c r="H24" s="47" t="n">
        <v>100</v>
      </c>
      <c r="I24" s="56" t="n">
        <f aca="false">$B$5*H24/100*G24/100</f>
        <v>22.13276</v>
      </c>
      <c r="J24" s="56" t="n">
        <f aca="false">D24*I24/100</f>
        <v>10.6489930343333</v>
      </c>
      <c r="K24" s="19" t="s">
        <v>523</v>
      </c>
    </row>
    <row r="25" customFormat="false" ht="15" hidden="false" customHeight="false" outlineLevel="0" collapsed="false">
      <c r="A25" s="11" t="s">
        <v>524</v>
      </c>
      <c r="B25" s="57" t="n">
        <f aca="false">AVERAGE('Segments 2024'!E29,'Segments 2024'!E32,'Segments 2024'!E33,'Segments 2024'!E34,'Segments 2024'!E31,'Segments 2024'!E45)</f>
        <v>38.6083333333333</v>
      </c>
      <c r="C25" s="57" t="n">
        <f aca="false">AVERAGE('Segments 2024'!E8,'Segments 2024'!E52,'Segments 2024'!E51,'Segments 2024'!E19,'Segments 2024'!E27,'Segments 2024'!E39)</f>
        <v>59.0083333333333</v>
      </c>
      <c r="D25" s="13" t="n">
        <f aca="false">AVERAGE(B25,C25)</f>
        <v>48.8083333333333</v>
      </c>
      <c r="E25" s="57" t="n">
        <f aca="false">'Segments 2024'!E5</f>
        <v>69.88</v>
      </c>
      <c r="F25" s="57" t="n">
        <f aca="false">'Segments 2024'!E29</f>
        <v>45.07</v>
      </c>
      <c r="G25" s="13" t="n">
        <f aca="false">E25-F25</f>
        <v>24.81</v>
      </c>
      <c r="H25" s="48" t="n">
        <v>50.9</v>
      </c>
      <c r="I25" s="58" t="n">
        <f aca="false">$B$5*H25/100*G25/100</f>
        <v>10.17840174</v>
      </c>
      <c r="J25" s="58" t="n">
        <f aca="false">D25*I25/100</f>
        <v>4.967908249265</v>
      </c>
      <c r="K25" s="14"/>
    </row>
    <row r="26" customFormat="false" ht="15" hidden="false" customHeight="false" outlineLevel="0" collapsed="false">
      <c r="A26" s="15" t="s">
        <v>525</v>
      </c>
      <c r="B26" s="55" t="n">
        <f aca="false">AVERAGE('Segments 2024'!F29,'Segments 2024'!F32,'Segments 2024'!F33,'Segments 2024'!F34,'Segments 2024'!F31,'Segments 2024'!F45)</f>
        <v>34.9866666666667</v>
      </c>
      <c r="C26" s="55" t="n">
        <f aca="false">AVERAGE('Segments 2024'!F8,'Segments 2024'!F52,'Segments 2024'!F51,'Segments 2024'!F19,'Segments 2024'!F27,'Segments 2024'!F39)</f>
        <v>59.7883333333333</v>
      </c>
      <c r="D26" s="18" t="n">
        <f aca="false">AVERAGE(B26,C26)</f>
        <v>47.3875</v>
      </c>
      <c r="E26" s="55" t="n">
        <f aca="false">'Segments 2024'!F5</f>
        <v>71.25</v>
      </c>
      <c r="F26" s="55" t="n">
        <f aca="false">'Segments 2024'!F29</f>
        <v>41.01</v>
      </c>
      <c r="G26" s="18" t="n">
        <f aca="false">E26-F26</f>
        <v>30.24</v>
      </c>
      <c r="H26" s="47" t="n">
        <v>49.1</v>
      </c>
      <c r="I26" s="56" t="n">
        <f aca="false">$B$5*H26/100*G26/100</f>
        <v>11.96735904</v>
      </c>
      <c r="J26" s="56" t="n">
        <f aca="false">D26*I26/100</f>
        <v>5.67103226508</v>
      </c>
      <c r="K26" s="19"/>
    </row>
    <row r="27" customFormat="false" ht="32.8" hidden="false" customHeight="false" outlineLevel="0" collapsed="false">
      <c r="A27" s="11" t="s">
        <v>526</v>
      </c>
      <c r="B27" s="57" t="n">
        <f aca="false">AVERAGE('Segments 2024'!G29,'Segments 2024'!G32,'Segments 2024'!G33,'Segments 2024'!G34,'Segments 2024'!G31,'Segments 2024'!G45)</f>
        <v>31.1083333333333</v>
      </c>
      <c r="C27" s="57" t="n">
        <f aca="false">AVERAGE('Segments 2024'!G8,'Segments 2024'!G52,'Segments 2024'!G51,'Segments 2024'!G19,'Segments 2024'!G27,'Segments 2024'!G39)</f>
        <v>66.2016666666667</v>
      </c>
      <c r="D27" s="13" t="n">
        <f aca="false">AVERAGE(B27,C27)</f>
        <v>48.655</v>
      </c>
      <c r="E27" s="57" t="n">
        <f aca="false">'Segments 2024'!G5</f>
        <v>72.16</v>
      </c>
      <c r="F27" s="57" t="n">
        <f aca="false">'Segments 2024'!G29</f>
        <v>38.58</v>
      </c>
      <c r="G27" s="13" t="n">
        <f aca="false">E27-F27</f>
        <v>33.58</v>
      </c>
      <c r="H27" s="48" t="n">
        <v>17.1</v>
      </c>
      <c r="I27" s="58" t="n">
        <f aca="false">$B$5*H27/100*G27/100</f>
        <v>4.62819708</v>
      </c>
      <c r="J27" s="58" t="n">
        <f aca="false">D27*I27/100</f>
        <v>2.251849289274</v>
      </c>
      <c r="K27" s="14" t="s">
        <v>527</v>
      </c>
    </row>
    <row r="28" customFormat="false" ht="15" hidden="false" customHeight="false" outlineLevel="0" collapsed="false">
      <c r="A28" s="15" t="s">
        <v>528</v>
      </c>
      <c r="B28" s="55" t="n">
        <f aca="false">AVERAGE('Segments 2024'!H29,'Segments 2024'!H32,'Segments 2024'!H33,'Segments 2024'!H34,'Segments 2024'!H31,'Segments 2024'!H45)</f>
        <v>38.1133333333333</v>
      </c>
      <c r="C28" s="55" t="n">
        <f aca="false">AVERAGE('Segments 2024'!H8,'Segments 2024'!H52,'Segments 2024'!H51,'Segments 2024'!H19,'Segments 2024'!H27,'Segments 2024'!H39)</f>
        <v>57.8783333333333</v>
      </c>
      <c r="D28" s="18" t="n">
        <f aca="false">AVERAGE(B28,C28)</f>
        <v>47.9958333333333</v>
      </c>
      <c r="E28" s="55" t="n">
        <f aca="false">'Segments 2024'!H5</f>
        <v>70.19</v>
      </c>
      <c r="F28" s="55" t="n">
        <f aca="false">'Segments 2024'!H29</f>
        <v>44.09</v>
      </c>
      <c r="G28" s="18" t="n">
        <f aca="false">E28-F28</f>
        <v>26.1</v>
      </c>
      <c r="H28" s="47" t="n">
        <v>82.9</v>
      </c>
      <c r="I28" s="56" t="n">
        <f aca="false">$B$5*H28/100*G28/100</f>
        <v>17.4393414</v>
      </c>
      <c r="J28" s="56" t="n">
        <f aca="false">D28*I28/100</f>
        <v>8.370157232775</v>
      </c>
      <c r="K28" s="19"/>
    </row>
    <row r="29" customFormat="false" ht="15" hidden="false" customHeight="false" outlineLevel="0" collapsed="false">
      <c r="A29" s="11" t="s">
        <v>529</v>
      </c>
      <c r="B29" s="57" t="n">
        <f aca="false">AVERAGE('Segments 2024'!I29,'Segments 2024'!I32,'Segments 2024'!I33,'Segments 2024'!I34,'Segments 2024'!I31,'Segments 2024'!I45)</f>
        <v>15.645</v>
      </c>
      <c r="C29" s="57" t="n">
        <f aca="false">AVERAGE('Segments 2024'!I8,'Segments 2024'!I52,'Segments 2024'!I51,'Segments 2024'!I19,'Segments 2024'!I27,'Segments 2024'!I39)</f>
        <v>26.51</v>
      </c>
      <c r="D29" s="13" t="n">
        <f aca="false">AVERAGE(B29,C29)</f>
        <v>21.0775</v>
      </c>
      <c r="E29" s="57" t="n">
        <f aca="false">'Segments 2024'!I5</f>
        <v>33.48</v>
      </c>
      <c r="F29" s="57" t="n">
        <f aca="false">'Segments 2024'!I29</f>
        <v>13.97</v>
      </c>
      <c r="G29" s="13" t="n">
        <f aca="false">E29-F29</f>
        <v>19.51</v>
      </c>
      <c r="H29" s="48" t="n">
        <v>23.6</v>
      </c>
      <c r="I29" s="58" t="n">
        <f aca="false">$B$5*H29/100*G29/100</f>
        <v>3.71111416</v>
      </c>
      <c r="J29" s="58" t="n">
        <f aca="false">D29*I29/100</f>
        <v>0.782210087074</v>
      </c>
      <c r="K29" s="14"/>
    </row>
    <row r="30" customFormat="false" ht="15" hidden="false" customHeight="false" outlineLevel="0" collapsed="false">
      <c r="A30" s="15" t="s">
        <v>530</v>
      </c>
      <c r="B30" s="55" t="n">
        <f aca="false">AVERAGE('Segments 2024'!J29,'Segments 2024'!J32,'Segments 2024'!J33,'Segments 2024'!J34,'Segments 2024'!J31,'Segments 2024'!J45)</f>
        <v>39.5116666666667</v>
      </c>
      <c r="C30" s="55" t="n">
        <f aca="false">AVERAGE('Segments 2024'!J8,'Segments 2024'!J52,'Segments 2024'!J51,'Segments 2024'!J19,'Segments 2024'!J27,'Segments 2024'!J39)</f>
        <v>63.5316666666667</v>
      </c>
      <c r="D30" s="18" t="n">
        <f aca="false">AVERAGE(B30,C30)</f>
        <v>51.5216666666667</v>
      </c>
      <c r="E30" s="55" t="n">
        <f aca="false">'Segments 2024'!J5</f>
        <v>75.22</v>
      </c>
      <c r="F30" s="55" t="n">
        <f aca="false">'Segments 2024'!J29</f>
        <v>46.71</v>
      </c>
      <c r="G30" s="18" t="n">
        <f aca="false">E30-F30</f>
        <v>28.51</v>
      </c>
      <c r="H30" s="47" t="n">
        <v>76.4</v>
      </c>
      <c r="I30" s="56" t="n">
        <f aca="false">$B$5*H30/100*G30/100</f>
        <v>17.55600184</v>
      </c>
      <c r="J30" s="56" t="n">
        <f aca="false">D30*I30/100</f>
        <v>9.04514474799867</v>
      </c>
      <c r="K30" s="19" t="s">
        <v>531</v>
      </c>
    </row>
    <row r="31" customFormat="false" ht="15" hidden="false" customHeight="false" outlineLevel="0" collapsed="false">
      <c r="A31" s="11" t="s">
        <v>532</v>
      </c>
      <c r="B31" s="57" t="n">
        <f aca="false">AVERAGE('Segments 2024'!K29,'Segments 2024'!K32,'Segments 2024'!K33,'Segments 2024'!K34,'Segments 2024'!K31,'Segments 2024'!K45)</f>
        <v>23.1283333333333</v>
      </c>
      <c r="C31" s="57" t="n">
        <f aca="false">AVERAGE('Segments 2024'!K8,'Segments 2024'!K52,'Segments 2024'!K51,'Segments 2024'!K19,'Segments 2024'!K27,'Segments 2024'!K39)</f>
        <v>40.5033333333333</v>
      </c>
      <c r="D31" s="13" t="n">
        <f aca="false">AVERAGE(B31,C31)</f>
        <v>31.8158333333333</v>
      </c>
      <c r="E31" s="57" t="n">
        <f aca="false">'Segments 2024'!K5</f>
        <v>48.11</v>
      </c>
      <c r="F31" s="57" t="n">
        <f aca="false">'Segments 2024'!K29</f>
        <v>27.05</v>
      </c>
      <c r="G31" s="13" t="n">
        <f aca="false">E31-F31</f>
        <v>21.06</v>
      </c>
      <c r="H31" s="48" t="n">
        <v>40</v>
      </c>
      <c r="I31" s="58" t="n">
        <f aca="false">$B$5*H31/100*G31/100</f>
        <v>6.789744</v>
      </c>
      <c r="J31" s="58" t="n">
        <f aca="false">D31*I31/100</f>
        <v>2.1602136348</v>
      </c>
      <c r="K31" s="14" t="s">
        <v>533</v>
      </c>
    </row>
    <row r="32" customFormat="false" ht="22.35" hidden="false" customHeight="false" outlineLevel="0" collapsed="false">
      <c r="A32" s="15" t="s">
        <v>534</v>
      </c>
      <c r="B32" s="55" t="n">
        <f aca="false">AVERAGE('Segments 2024'!L29,'Segments 2024'!L32,'Segments 2024'!L33,'Segments 2024'!L34,'Segments 2024'!L31,'Segments 2024'!L45)</f>
        <v>45.9666666666667</v>
      </c>
      <c r="C32" s="55" t="n">
        <f aca="false">AVERAGE('Segments 2024'!L8,'Segments 2024'!L52,'Segments 2024'!L51,'Segments 2024'!L19,'Segments 2024'!L27,'Segments 2024'!L39)</f>
        <v>71.96</v>
      </c>
      <c r="D32" s="18" t="n">
        <f aca="false">AVERAGE(B32,C32)</f>
        <v>58.9633333333333</v>
      </c>
      <c r="E32" s="55" t="n">
        <f aca="false">'Segments 2024'!L5</f>
        <v>85.49</v>
      </c>
      <c r="F32" s="55" t="n">
        <f aca="false">'Segments 2024'!L29</f>
        <v>53.76</v>
      </c>
      <c r="G32" s="18" t="n">
        <f aca="false">E32-F32</f>
        <v>31.73</v>
      </c>
      <c r="H32" s="47" t="n">
        <v>60</v>
      </c>
      <c r="I32" s="56" t="n">
        <f aca="false">$B$5*H32/100*G32/100</f>
        <v>15.344628</v>
      </c>
      <c r="J32" s="56" t="n">
        <f aca="false">D32*I32/100</f>
        <v>9.0477041564</v>
      </c>
      <c r="K32" s="19" t="s">
        <v>535</v>
      </c>
    </row>
    <row r="33" customFormat="false" ht="15" hidden="false" customHeight="false" outlineLevel="0" collapsed="false">
      <c r="A33" s="11" t="s">
        <v>536</v>
      </c>
      <c r="B33" s="57" t="n">
        <f aca="false">AVERAGE('Segments 2024'!M29,'Segments 2024'!M32,'Segments 2024'!M33,'Segments 2024'!M34,'Segments 2024'!M31,'Segments 2024'!M45)</f>
        <v>33.795</v>
      </c>
      <c r="C33" s="57" t="n">
        <f aca="false">AVERAGE('Segments 2024'!M8,'Segments 2024'!M52,'Segments 2024'!M51,'Segments 2024'!M19,'Segments 2024'!M27,'Segments 2024'!M39)</f>
        <v>56.1533333333333</v>
      </c>
      <c r="D33" s="13" t="n">
        <f aca="false">AVERAGE(B33,C33)</f>
        <v>44.9741666666667</v>
      </c>
      <c r="E33" s="57" t="n">
        <f aca="false">'Segments 2024'!M5</f>
        <v>67.37</v>
      </c>
      <c r="F33" s="57" t="n">
        <f aca="false">'Segments 2024'!M29</f>
        <v>40.47</v>
      </c>
      <c r="G33" s="13" t="n">
        <f aca="false">E33-F33</f>
        <v>26.9</v>
      </c>
      <c r="H33" s="48" t="n">
        <v>62</v>
      </c>
      <c r="I33" s="58" t="n">
        <f aca="false">$B$5*H33/100*G33/100</f>
        <v>13.442468</v>
      </c>
      <c r="J33" s="58" t="n">
        <f aca="false">D33*I33/100</f>
        <v>6.04563796243334</v>
      </c>
      <c r="K33" s="14"/>
    </row>
    <row r="34" customFormat="false" ht="15" hidden="false" customHeight="false" outlineLevel="0" collapsed="false">
      <c r="A34" s="15" t="s">
        <v>537</v>
      </c>
      <c r="B34" s="55" t="n">
        <f aca="false">AVERAGE('Segments 2024'!N29,'Segments 2024'!N32,'Segments 2024'!N33,'Segments 2024'!N34,'Segments 2024'!N31,'Segments 2024'!N45)</f>
        <v>43.0233333333333</v>
      </c>
      <c r="C34" s="55" t="n">
        <f aca="false">AVERAGE('Segments 2024'!N8,'Segments 2024'!N52,'Segments 2024'!N51,'Segments 2024'!N19,'Segments 2024'!N27,'Segments 2024'!N39)</f>
        <v>65.9616666666667</v>
      </c>
      <c r="D34" s="18" t="n">
        <f aca="false">AVERAGE(B34,C34)</f>
        <v>54.4925</v>
      </c>
      <c r="E34" s="55" t="n">
        <f aca="false">'Segments 2024'!N5</f>
        <v>77.01</v>
      </c>
      <c r="F34" s="55" t="n">
        <f aca="false">'Segments 2024'!N29</f>
        <v>48.41</v>
      </c>
      <c r="G34" s="18" t="n">
        <f aca="false">E34-F34</f>
        <v>28.6</v>
      </c>
      <c r="H34" s="47" t="n">
        <v>38</v>
      </c>
      <c r="I34" s="56" t="n">
        <f aca="false">$B$5*H34/100*G34/100</f>
        <v>8.759608</v>
      </c>
      <c r="J34" s="56" t="n">
        <f aca="false">D34*I34/100</f>
        <v>4.7733293894</v>
      </c>
      <c r="K34" s="19"/>
    </row>
    <row r="35" customFormat="false" ht="15" hidden="false" customHeight="false" outlineLevel="0" collapsed="false">
      <c r="A35" s="11" t="s">
        <v>538</v>
      </c>
      <c r="B35" s="57" t="n">
        <f aca="false">AVERAGE('Segments 2024'!O29,'Segments 2024'!O32,'Segments 2024'!O33,'Segments 2024'!O34,'Segments 2024'!O31,'Segments 2024'!O45)</f>
        <v>18.4483333333333</v>
      </c>
      <c r="C35" s="57" t="n">
        <f aca="false">AVERAGE('Segments 2024'!O8,'Segments 2024'!O52,'Segments 2024'!O51,'Segments 2024'!O19,'Segments 2024'!O27,'Segments 2024'!O39)</f>
        <v>36.6133333333333</v>
      </c>
      <c r="D35" s="13" t="n">
        <f aca="false">AVERAGE(B35,C35)</f>
        <v>27.5308333333333</v>
      </c>
      <c r="E35" s="57" t="n">
        <f aca="false">'Segments 2024'!O5</f>
        <v>41.31</v>
      </c>
      <c r="F35" s="57" t="n">
        <f aca="false">'Segments 2024'!O29</f>
        <v>21.95</v>
      </c>
      <c r="G35" s="13" t="n">
        <f aca="false">E35-F35</f>
        <v>19.36</v>
      </c>
      <c r="H35" s="48" t="n">
        <v>26.5</v>
      </c>
      <c r="I35" s="58" t="n">
        <f aca="false">$B$5*H35/100*G35/100</f>
        <v>4.1351024</v>
      </c>
      <c r="J35" s="58" t="n">
        <f aca="false">D35*I35/100</f>
        <v>1.13842814990667</v>
      </c>
      <c r="K35" s="14"/>
    </row>
    <row r="36" customFormat="false" ht="22.35" hidden="false" customHeight="false" outlineLevel="0" collapsed="false">
      <c r="A36" s="15" t="s">
        <v>539</v>
      </c>
      <c r="B36" s="55" t="n">
        <f aca="false">AVERAGE('Segments 2024'!P29,'Segments 2024'!P32,'Segments 2024'!P33,'Segments 2024'!P34,'Segments 2024'!P31,'Segments 2024'!P45)</f>
        <v>41.4533333333333</v>
      </c>
      <c r="C36" s="55" t="n">
        <f aca="false">AVERAGE('Segments 2024'!P8,'Segments 2024'!P52,'Segments 2024'!P51,'Segments 2024'!P19,'Segments 2024'!P27,'Segments 2024'!P39)</f>
        <v>65.1033333333333</v>
      </c>
      <c r="D36" s="18" t="n">
        <f aca="false">AVERAGE(B36,C36)</f>
        <v>53.2783333333333</v>
      </c>
      <c r="E36" s="55" t="n">
        <f aca="false">'Segments 2024'!P5</f>
        <v>77.89</v>
      </c>
      <c r="F36" s="55" t="n">
        <f aca="false">'Segments 2024'!P29</f>
        <v>48.39</v>
      </c>
      <c r="G36" s="18" t="n">
        <f aca="false">E36-F36</f>
        <v>29.5</v>
      </c>
      <c r="H36" s="47" t="n">
        <v>73.5</v>
      </c>
      <c r="I36" s="56" t="n">
        <f aca="false">$B$5*H36/100*G36/100</f>
        <v>17.476095</v>
      </c>
      <c r="J36" s="56" t="n">
        <f aca="false">D36*I36/100</f>
        <v>9.31097214775</v>
      </c>
      <c r="K36" s="19" t="s">
        <v>540</v>
      </c>
    </row>
    <row r="38" customFormat="false" ht="15" hidden="false" customHeight="true" outlineLevel="0" collapsed="false">
      <c r="A38" s="11" t="s">
        <v>541</v>
      </c>
      <c r="B38" s="13" t="n">
        <f aca="false">SUMPRODUCT(MAX(C25:C36-B25:B36))</f>
        <v>35.0933333333333</v>
      </c>
      <c r="C38" s="14" t="s">
        <v>542</v>
      </c>
      <c r="D38" s="14"/>
      <c r="E38" s="14"/>
      <c r="F38" s="14"/>
      <c r="G38" s="14"/>
      <c r="H38" s="14"/>
      <c r="I38" s="14"/>
      <c r="J38" s="14"/>
      <c r="K38" s="14"/>
    </row>
  </sheetData>
  <mergeCells count="14">
    <mergeCell ref="C5:K5"/>
    <mergeCell ref="C9:J9"/>
    <mergeCell ref="C10:J10"/>
    <mergeCell ref="C11:J11"/>
    <mergeCell ref="C12:J12"/>
    <mergeCell ref="C13:J13"/>
    <mergeCell ref="C14:J14"/>
    <mergeCell ref="C15:J15"/>
    <mergeCell ref="C16:J16"/>
    <mergeCell ref="C17:J17"/>
    <mergeCell ref="C18:J18"/>
    <mergeCell ref="C19:J19"/>
    <mergeCell ref="C20:J20"/>
    <mergeCell ref="C38:K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52"/>
    <col collapsed="false" customWidth="true" hidden="false" outlineLevel="0" max="3" min="3" style="0" width="16"/>
    <col collapsed="false" customWidth="true" hidden="false" outlineLevel="0" max="16" min="4" style="0" width="13"/>
  </cols>
  <sheetData>
    <row r="1" customFormat="false" ht="17.35" hidden="false" customHeight="false" outlineLevel="0" collapsed="false">
      <c r="A1" s="1" t="s">
        <v>543</v>
      </c>
    </row>
    <row r="2" customFormat="false" ht="15" hidden="false" customHeight="false" outlineLevel="0" collapsed="false">
      <c r="A2" s="8" t="s">
        <v>544</v>
      </c>
    </row>
    <row r="4" customFormat="false" ht="33.75" hidden="false" customHeight="true" outlineLevel="0" collapsed="false">
      <c r="A4" s="9" t="s">
        <v>482</v>
      </c>
      <c r="B4" s="9" t="s">
        <v>483</v>
      </c>
      <c r="C4" s="9" t="s">
        <v>267</v>
      </c>
      <c r="D4" s="10" t="s">
        <v>522</v>
      </c>
      <c r="E4" s="10" t="s">
        <v>524</v>
      </c>
      <c r="F4" s="10" t="s">
        <v>525</v>
      </c>
      <c r="G4" s="10" t="s">
        <v>526</v>
      </c>
      <c r="H4" s="10" t="s">
        <v>528</v>
      </c>
      <c r="I4" s="10" t="s">
        <v>529</v>
      </c>
      <c r="J4" s="10" t="s">
        <v>530</v>
      </c>
      <c r="K4" s="10" t="s">
        <v>532</v>
      </c>
      <c r="L4" s="10" t="s">
        <v>534</v>
      </c>
      <c r="M4" s="10" t="s">
        <v>536</v>
      </c>
      <c r="N4" s="10" t="s">
        <v>537</v>
      </c>
      <c r="O4" s="10" t="s">
        <v>538</v>
      </c>
      <c r="P4" s="10" t="s">
        <v>539</v>
      </c>
    </row>
    <row r="5" customFormat="false" ht="15" hidden="false" customHeight="false" outlineLevel="0" collapsed="false">
      <c r="A5" s="22" t="s">
        <v>545</v>
      </c>
      <c r="B5" s="22" t="s">
        <v>546</v>
      </c>
      <c r="C5" s="22" t="s">
        <v>547</v>
      </c>
      <c r="D5" s="59" t="n">
        <v>70.55</v>
      </c>
      <c r="E5" s="59" t="n">
        <v>69.88</v>
      </c>
      <c r="F5" s="59" t="n">
        <v>71.25</v>
      </c>
      <c r="G5" s="59" t="n">
        <v>72.16</v>
      </c>
      <c r="H5" s="59" t="n">
        <v>70.19</v>
      </c>
      <c r="I5" s="59" t="n">
        <v>33.48</v>
      </c>
      <c r="J5" s="59" t="n">
        <v>75.22</v>
      </c>
      <c r="K5" s="59" t="n">
        <v>48.11</v>
      </c>
      <c r="L5" s="59" t="n">
        <v>85.49</v>
      </c>
      <c r="M5" s="59" t="n">
        <v>67.37</v>
      </c>
      <c r="N5" s="59" t="n">
        <v>77.01</v>
      </c>
      <c r="O5" s="59" t="n">
        <v>41.31</v>
      </c>
      <c r="P5" s="59" t="n">
        <v>77.89</v>
      </c>
    </row>
    <row r="6" customFormat="false" ht="15" hidden="false" customHeight="false" outlineLevel="0" collapsed="false">
      <c r="A6" s="23" t="s">
        <v>548</v>
      </c>
      <c r="B6" s="23" t="s">
        <v>549</v>
      </c>
      <c r="C6" s="23" t="s">
        <v>547</v>
      </c>
      <c r="D6" s="60" t="n">
        <v>69.85</v>
      </c>
      <c r="E6" s="60" t="n">
        <v>69.42</v>
      </c>
      <c r="F6" s="60" t="n">
        <v>70.31</v>
      </c>
      <c r="G6" s="60" t="n">
        <v>70.58</v>
      </c>
      <c r="H6" s="60" t="n">
        <v>69.69</v>
      </c>
      <c r="I6" s="60" t="n">
        <v>33.15</v>
      </c>
      <c r="J6" s="60" t="n">
        <v>74.48</v>
      </c>
      <c r="K6" s="60" t="n">
        <v>47.66</v>
      </c>
      <c r="L6" s="60" t="n">
        <v>84.63</v>
      </c>
      <c r="M6" s="60" t="n">
        <v>66.46</v>
      </c>
      <c r="N6" s="60" t="n">
        <v>76.75</v>
      </c>
      <c r="O6" s="60" t="n">
        <v>40.73</v>
      </c>
      <c r="P6" s="60" t="n">
        <v>77.16</v>
      </c>
    </row>
    <row r="7" customFormat="false" ht="15" hidden="false" customHeight="false" outlineLevel="0" collapsed="false">
      <c r="A7" s="22" t="s">
        <v>550</v>
      </c>
      <c r="B7" s="22" t="s">
        <v>551</v>
      </c>
      <c r="C7" s="22" t="s">
        <v>547</v>
      </c>
      <c r="D7" s="59" t="n">
        <v>38.72</v>
      </c>
      <c r="E7" s="59" t="n">
        <v>37.02</v>
      </c>
      <c r="F7" s="59" t="n">
        <v>40.51</v>
      </c>
      <c r="G7" s="59" t="n">
        <v>51.53</v>
      </c>
      <c r="H7" s="59" t="n">
        <v>35.88</v>
      </c>
      <c r="I7" s="59" t="n">
        <v>11.52</v>
      </c>
      <c r="J7" s="59" t="n">
        <v>42.21</v>
      </c>
      <c r="K7" s="59" t="n">
        <v>22.32</v>
      </c>
      <c r="L7" s="59" t="n">
        <v>49.64</v>
      </c>
      <c r="M7" s="59" t="n">
        <v>36.19</v>
      </c>
      <c r="N7" s="59" t="n">
        <v>43.86</v>
      </c>
      <c r="O7" s="59" t="n">
        <v>18.2</v>
      </c>
      <c r="P7" s="59" t="n">
        <v>43.87</v>
      </c>
    </row>
    <row r="8" customFormat="false" ht="15" hidden="false" customHeight="false" outlineLevel="0" collapsed="false">
      <c r="A8" s="23" t="s">
        <v>499</v>
      </c>
      <c r="B8" s="23" t="s">
        <v>500</v>
      </c>
      <c r="C8" s="23" t="s">
        <v>547</v>
      </c>
      <c r="D8" s="60" t="n">
        <v>62.74</v>
      </c>
      <c r="E8" s="60" t="n">
        <v>62.39</v>
      </c>
      <c r="F8" s="60" t="n">
        <v>63.11</v>
      </c>
      <c r="G8" s="60" t="n">
        <v>71.06</v>
      </c>
      <c r="H8" s="60" t="n">
        <v>60.89</v>
      </c>
      <c r="I8" s="60" t="n">
        <v>19.75</v>
      </c>
      <c r="J8" s="60" t="n">
        <v>68.14</v>
      </c>
      <c r="K8" s="60" t="n">
        <v>37.58</v>
      </c>
      <c r="L8" s="60" t="n">
        <v>79.49</v>
      </c>
      <c r="M8" s="60" t="n">
        <v>59.3</v>
      </c>
      <c r="N8" s="60" t="n">
        <v>69.73</v>
      </c>
      <c r="O8" s="60" t="n">
        <v>31.32</v>
      </c>
      <c r="P8" s="60" t="n">
        <v>70.62</v>
      </c>
    </row>
    <row r="9" customFormat="false" ht="15" hidden="false" customHeight="false" outlineLevel="0" collapsed="false">
      <c r="A9" s="22" t="s">
        <v>552</v>
      </c>
      <c r="B9" s="22" t="s">
        <v>553</v>
      </c>
      <c r="C9" s="22" t="s">
        <v>547</v>
      </c>
      <c r="D9" s="59" t="n">
        <v>64.82</v>
      </c>
      <c r="E9" s="59" t="n">
        <v>63.65</v>
      </c>
      <c r="F9" s="59" t="n">
        <v>66.04</v>
      </c>
      <c r="G9" s="59" t="n">
        <v>64.68</v>
      </c>
      <c r="H9" s="59" t="n">
        <v>64.85</v>
      </c>
      <c r="I9" s="59" t="n">
        <v>26.4</v>
      </c>
      <c r="J9" s="59" t="n">
        <v>69.65</v>
      </c>
      <c r="K9" s="59" t="n">
        <v>42.18</v>
      </c>
      <c r="L9" s="59" t="n">
        <v>79.89</v>
      </c>
      <c r="M9" s="59" t="n">
        <v>60.46</v>
      </c>
      <c r="N9" s="59" t="n">
        <v>73.67</v>
      </c>
      <c r="O9" s="59" t="n">
        <v>31.94</v>
      </c>
      <c r="P9" s="59" t="n">
        <v>73.07</v>
      </c>
    </row>
    <row r="10" customFormat="false" ht="15" hidden="false" customHeight="false" outlineLevel="0" collapsed="false">
      <c r="A10" s="23" t="s">
        <v>554</v>
      </c>
      <c r="B10" s="23" t="s">
        <v>555</v>
      </c>
      <c r="C10" s="23" t="s">
        <v>547</v>
      </c>
      <c r="D10" s="60" t="n">
        <v>43.49</v>
      </c>
      <c r="E10" s="60" t="n">
        <v>42.07</v>
      </c>
      <c r="F10" s="60" t="n">
        <v>44.98</v>
      </c>
      <c r="G10" s="60" t="n">
        <v>36.75</v>
      </c>
      <c r="H10" s="60" t="n">
        <v>44.99</v>
      </c>
      <c r="I10" s="60" t="n">
        <v>19.22</v>
      </c>
      <c r="J10" s="60" t="n">
        <v>46.51</v>
      </c>
      <c r="K10" s="60" t="n">
        <v>26.52</v>
      </c>
      <c r="L10" s="60" t="n">
        <v>54.79</v>
      </c>
      <c r="M10" s="60" t="n">
        <v>39.34</v>
      </c>
      <c r="N10" s="60" t="n">
        <v>51.94</v>
      </c>
      <c r="O10" s="60" t="n">
        <v>16.04</v>
      </c>
      <c r="P10" s="60" t="n">
        <v>50.38</v>
      </c>
    </row>
    <row r="11" customFormat="false" ht="15" hidden="false" customHeight="false" outlineLevel="0" collapsed="false">
      <c r="A11" s="22" t="s">
        <v>556</v>
      </c>
      <c r="B11" s="22" t="s">
        <v>557</v>
      </c>
      <c r="C11" s="22" t="s">
        <v>547</v>
      </c>
      <c r="D11" s="59" t="n">
        <v>16.51</v>
      </c>
      <c r="E11" s="59" t="n">
        <v>18.82</v>
      </c>
      <c r="F11" s="59" t="n">
        <v>14.09</v>
      </c>
      <c r="G11" s="59" t="n">
        <v>20.05</v>
      </c>
      <c r="H11" s="59" t="n">
        <v>15.73</v>
      </c>
      <c r="I11" s="59" t="n">
        <v>27.98</v>
      </c>
      <c r="J11" s="59" t="n">
        <v>15.04</v>
      </c>
      <c r="K11" s="59" t="n">
        <v>26.14</v>
      </c>
      <c r="L11" s="59" t="n">
        <v>10.1</v>
      </c>
      <c r="M11" s="59" t="n">
        <v>17.87</v>
      </c>
      <c r="N11" s="59" t="n">
        <v>13.75</v>
      </c>
      <c r="O11" s="59" t="n">
        <v>33.56</v>
      </c>
      <c r="P11" s="59" t="n">
        <v>12.23</v>
      </c>
    </row>
    <row r="12" customFormat="false" ht="15" hidden="false" customHeight="false" outlineLevel="0" collapsed="false">
      <c r="A12" s="23" t="s">
        <v>558</v>
      </c>
      <c r="B12" s="23" t="s">
        <v>559</v>
      </c>
      <c r="C12" s="23" t="s">
        <v>547</v>
      </c>
      <c r="D12" s="60" t="n">
        <v>21.13</v>
      </c>
      <c r="E12" s="60" t="n">
        <v>22.13</v>
      </c>
      <c r="F12" s="60" t="n">
        <v>20.08</v>
      </c>
      <c r="G12" s="60" t="n">
        <v>10.89</v>
      </c>
      <c r="H12" s="60" t="n">
        <v>23.41</v>
      </c>
      <c r="I12" s="60" t="n">
        <v>53.72</v>
      </c>
      <c r="J12" s="60" t="n">
        <v>17.01</v>
      </c>
      <c r="K12" s="60" t="n">
        <v>37.18</v>
      </c>
      <c r="L12" s="60" t="n">
        <v>10.45</v>
      </c>
      <c r="M12" s="60" t="n">
        <v>21.82</v>
      </c>
      <c r="N12" s="60" t="n">
        <v>19.73</v>
      </c>
      <c r="O12" s="60" t="n">
        <v>37.18</v>
      </c>
      <c r="P12" s="60" t="n">
        <v>17.11</v>
      </c>
    </row>
    <row r="13" customFormat="false" ht="15" hidden="false" customHeight="false" outlineLevel="0" collapsed="false">
      <c r="A13" s="22" t="s">
        <v>560</v>
      </c>
      <c r="B13" s="22" t="s">
        <v>561</v>
      </c>
      <c r="C13" s="22" t="s">
        <v>562</v>
      </c>
      <c r="D13" s="59" t="n">
        <v>62.38</v>
      </c>
      <c r="E13" s="59" t="n">
        <v>61.4</v>
      </c>
      <c r="F13" s="59" t="n">
        <v>63.4</v>
      </c>
      <c r="G13" s="59" t="n">
        <v>66.59</v>
      </c>
      <c r="H13" s="59" t="n">
        <v>61.44</v>
      </c>
      <c r="I13" s="59" t="n">
        <v>26.47</v>
      </c>
      <c r="J13" s="59" t="n">
        <v>66.89</v>
      </c>
      <c r="K13" s="59" t="n">
        <v>38.59</v>
      </c>
      <c r="L13" s="59" t="n">
        <v>78.21</v>
      </c>
      <c r="M13" s="59" t="n">
        <v>59.52</v>
      </c>
      <c r="N13" s="59" t="n">
        <v>68.19</v>
      </c>
      <c r="O13" s="59" t="n">
        <v>30.94</v>
      </c>
      <c r="P13" s="59" t="n">
        <v>70.27</v>
      </c>
    </row>
    <row r="14" customFormat="false" ht="15" hidden="false" customHeight="false" outlineLevel="0" collapsed="false">
      <c r="A14" s="23" t="s">
        <v>563</v>
      </c>
      <c r="B14" s="23" t="s">
        <v>564</v>
      </c>
      <c r="C14" s="23" t="s">
        <v>562</v>
      </c>
      <c r="D14" s="60" t="n">
        <v>56.47</v>
      </c>
      <c r="E14" s="60" t="n">
        <v>56.53</v>
      </c>
      <c r="F14" s="60" t="n">
        <v>56.41</v>
      </c>
      <c r="G14" s="60" t="n">
        <v>63.18</v>
      </c>
      <c r="H14" s="60" t="n">
        <v>54.98</v>
      </c>
      <c r="I14" s="60" t="n">
        <v>16.58</v>
      </c>
      <c r="J14" s="60" t="n">
        <v>61.47</v>
      </c>
      <c r="K14" s="60" t="n">
        <v>31.13</v>
      </c>
      <c r="L14" s="60" t="n">
        <v>73.34</v>
      </c>
      <c r="M14" s="60" t="n">
        <v>54.16</v>
      </c>
      <c r="N14" s="60" t="n">
        <v>61.16</v>
      </c>
      <c r="O14" s="60" t="n">
        <v>25.05</v>
      </c>
      <c r="P14" s="60" t="n">
        <v>64.36</v>
      </c>
    </row>
    <row r="15" customFormat="false" ht="15" hidden="false" customHeight="false" outlineLevel="0" collapsed="false">
      <c r="A15" s="22" t="s">
        <v>565</v>
      </c>
      <c r="B15" s="22" t="s">
        <v>566</v>
      </c>
      <c r="C15" s="22" t="s">
        <v>562</v>
      </c>
      <c r="D15" s="59" t="n">
        <v>48.05</v>
      </c>
      <c r="E15" s="59" t="n">
        <v>46.29</v>
      </c>
      <c r="F15" s="59" t="n">
        <v>49.89</v>
      </c>
      <c r="G15" s="59" t="n">
        <v>47.11</v>
      </c>
      <c r="H15" s="59" t="n">
        <v>48.26</v>
      </c>
      <c r="I15" s="59" t="n">
        <v>17.26</v>
      </c>
      <c r="J15" s="59" t="n">
        <v>51.89</v>
      </c>
      <c r="K15" s="59" t="n">
        <v>27.14</v>
      </c>
      <c r="L15" s="59" t="n">
        <v>61.97</v>
      </c>
      <c r="M15" s="59" t="n">
        <v>44.69</v>
      </c>
      <c r="N15" s="59" t="n">
        <v>54.88</v>
      </c>
      <c r="O15" s="59" t="n">
        <v>17.24</v>
      </c>
      <c r="P15" s="59" t="n">
        <v>55.78</v>
      </c>
    </row>
    <row r="16" customFormat="false" ht="15" hidden="false" customHeight="false" outlineLevel="0" collapsed="false">
      <c r="A16" s="23" t="s">
        <v>567</v>
      </c>
      <c r="B16" s="23" t="s">
        <v>568</v>
      </c>
      <c r="C16" s="23" t="s">
        <v>562</v>
      </c>
      <c r="D16" s="60" t="n">
        <v>60.68</v>
      </c>
      <c r="E16" s="60" t="n">
        <v>60.44</v>
      </c>
      <c r="F16" s="60" t="n">
        <v>60.93</v>
      </c>
      <c r="G16" s="60" t="n">
        <v>66.97</v>
      </c>
      <c r="H16" s="60" t="n">
        <v>59.28</v>
      </c>
      <c r="I16" s="60" t="n">
        <v>17.84</v>
      </c>
      <c r="J16" s="60" t="n">
        <v>66.17</v>
      </c>
      <c r="K16" s="60" t="n">
        <v>36.07</v>
      </c>
      <c r="L16" s="60" t="n">
        <v>77.05</v>
      </c>
      <c r="M16" s="60" t="n">
        <v>57.07</v>
      </c>
      <c r="N16" s="60" t="n">
        <v>67.99</v>
      </c>
      <c r="O16" s="60" t="n">
        <v>28.79</v>
      </c>
      <c r="P16" s="60" t="n">
        <v>68.68</v>
      </c>
    </row>
    <row r="17" customFormat="false" ht="15" hidden="false" customHeight="false" outlineLevel="0" collapsed="false">
      <c r="A17" s="22" t="s">
        <v>569</v>
      </c>
      <c r="B17" s="22" t="s">
        <v>570</v>
      </c>
      <c r="C17" s="22" t="s">
        <v>562</v>
      </c>
      <c r="D17" s="59" t="n">
        <v>51.13</v>
      </c>
      <c r="E17" s="59" t="n">
        <v>52.69</v>
      </c>
      <c r="F17" s="59" t="n">
        <v>49.48</v>
      </c>
      <c r="G17" s="59" t="n">
        <v>60.76</v>
      </c>
      <c r="H17" s="59" t="n">
        <v>48.99</v>
      </c>
      <c r="I17" s="59" t="n">
        <v>8.02</v>
      </c>
      <c r="J17" s="59" t="n">
        <v>56.52</v>
      </c>
      <c r="K17" s="59" t="n">
        <v>26.48</v>
      </c>
      <c r="L17" s="59" t="n">
        <v>67.53</v>
      </c>
      <c r="M17" s="59" t="n">
        <v>47.69</v>
      </c>
      <c r="N17" s="59" t="n">
        <v>58.1</v>
      </c>
      <c r="O17" s="59" t="n">
        <v>22.13</v>
      </c>
      <c r="P17" s="59" t="n">
        <v>58.4</v>
      </c>
    </row>
    <row r="18" customFormat="false" ht="15" hidden="false" customHeight="false" outlineLevel="0" collapsed="false">
      <c r="A18" s="23" t="s">
        <v>571</v>
      </c>
      <c r="B18" s="23" t="s">
        <v>572</v>
      </c>
      <c r="C18" s="23" t="s">
        <v>562</v>
      </c>
      <c r="D18" s="60" t="n">
        <v>48.26</v>
      </c>
      <c r="E18" s="60" t="n">
        <v>49.48</v>
      </c>
      <c r="F18" s="60" t="n">
        <v>46.98</v>
      </c>
      <c r="G18" s="60" t="n">
        <v>56.97</v>
      </c>
      <c r="H18" s="60" t="n">
        <v>46.33</v>
      </c>
      <c r="I18" s="60" t="n">
        <v>7.33</v>
      </c>
      <c r="J18" s="60" t="n">
        <v>53.37</v>
      </c>
      <c r="K18" s="60" t="n">
        <v>23.63</v>
      </c>
      <c r="L18" s="60" t="n">
        <v>64.65</v>
      </c>
      <c r="M18" s="60" t="n">
        <v>44.42</v>
      </c>
      <c r="N18" s="60" t="n">
        <v>56.07</v>
      </c>
      <c r="O18" s="60" t="n">
        <v>21.42</v>
      </c>
      <c r="P18" s="60" t="n">
        <v>54.99</v>
      </c>
    </row>
    <row r="19" customFormat="false" ht="15" hidden="false" customHeight="false" outlineLevel="0" collapsed="false">
      <c r="A19" s="22" t="s">
        <v>505</v>
      </c>
      <c r="B19" s="22" t="s">
        <v>506</v>
      </c>
      <c r="C19" s="22" t="s">
        <v>562</v>
      </c>
      <c r="D19" s="59" t="n">
        <v>25.66</v>
      </c>
      <c r="E19" s="59" t="n">
        <v>28.06</v>
      </c>
      <c r="F19" s="59" t="n">
        <v>23.15</v>
      </c>
      <c r="G19" s="59" t="n">
        <v>28.94</v>
      </c>
      <c r="H19" s="59" t="n">
        <v>24.94</v>
      </c>
      <c r="I19" s="59" t="n">
        <v>1.87</v>
      </c>
      <c r="J19" s="59" t="n">
        <v>28.58</v>
      </c>
      <c r="K19" s="59" t="n">
        <v>9.78</v>
      </c>
      <c r="L19" s="59" t="n">
        <v>36.23</v>
      </c>
      <c r="M19" s="59" t="n">
        <v>20.58</v>
      </c>
      <c r="N19" s="59" t="n">
        <v>35.98</v>
      </c>
      <c r="O19" s="59" t="n">
        <v>9.65</v>
      </c>
      <c r="P19" s="59" t="n">
        <v>29.68</v>
      </c>
    </row>
    <row r="20" customFormat="false" ht="15" hidden="false" customHeight="false" outlineLevel="0" collapsed="false">
      <c r="A20" s="23" t="s">
        <v>573</v>
      </c>
      <c r="B20" s="23" t="s">
        <v>574</v>
      </c>
      <c r="C20" s="23" t="s">
        <v>562</v>
      </c>
      <c r="D20" s="60" t="n">
        <v>45.5</v>
      </c>
      <c r="E20" s="60" t="n">
        <v>46.89</v>
      </c>
      <c r="F20" s="60" t="n">
        <v>44.05</v>
      </c>
      <c r="G20" s="60" t="n">
        <v>40.76</v>
      </c>
      <c r="H20" s="60" t="n">
        <v>46.56</v>
      </c>
      <c r="I20" s="60" t="n">
        <v>10.47</v>
      </c>
      <c r="J20" s="60" t="n">
        <v>49.87</v>
      </c>
      <c r="K20" s="60" t="n">
        <v>23.52</v>
      </c>
      <c r="L20" s="60" t="n">
        <v>60.13</v>
      </c>
      <c r="M20" s="60" t="n">
        <v>42.33</v>
      </c>
      <c r="N20" s="60" t="n">
        <v>51.95</v>
      </c>
      <c r="O20" s="60" t="n">
        <v>16.14</v>
      </c>
      <c r="P20" s="60" t="n">
        <v>52.87</v>
      </c>
    </row>
    <row r="21" customFormat="false" ht="15" hidden="false" customHeight="false" outlineLevel="0" collapsed="false">
      <c r="A21" s="22" t="s">
        <v>575</v>
      </c>
      <c r="B21" s="22" t="s">
        <v>576</v>
      </c>
      <c r="C21" s="22" t="s">
        <v>562</v>
      </c>
      <c r="D21" s="59" t="n">
        <v>46.24</v>
      </c>
      <c r="E21" s="59" t="n">
        <v>51.09</v>
      </c>
      <c r="F21" s="59" t="n">
        <v>41.15</v>
      </c>
      <c r="G21" s="59" t="n">
        <v>61.89</v>
      </c>
      <c r="H21" s="59" t="n">
        <v>42.76</v>
      </c>
      <c r="I21" s="59" t="n">
        <v>8.68</v>
      </c>
      <c r="J21" s="59" t="n">
        <v>50.93</v>
      </c>
      <c r="K21" s="59" t="n">
        <v>24.71</v>
      </c>
      <c r="L21" s="59" t="n">
        <v>60.57</v>
      </c>
      <c r="M21" s="59" t="n">
        <v>42.18</v>
      </c>
      <c r="N21" s="59" t="n">
        <v>54.48</v>
      </c>
      <c r="O21" s="59" t="n">
        <v>23.75</v>
      </c>
      <c r="P21" s="59" t="n">
        <v>51.88</v>
      </c>
    </row>
    <row r="22" customFormat="false" ht="15" hidden="false" customHeight="false" outlineLevel="0" collapsed="false">
      <c r="A22" s="23" t="s">
        <v>577</v>
      </c>
      <c r="B22" s="23" t="s">
        <v>578</v>
      </c>
      <c r="C22" s="23" t="s">
        <v>562</v>
      </c>
      <c r="D22" s="60" t="n">
        <v>34.19</v>
      </c>
      <c r="E22" s="60" t="n">
        <v>39.32</v>
      </c>
      <c r="F22" s="60" t="n">
        <v>28.82</v>
      </c>
      <c r="G22" s="60" t="n">
        <v>43.15</v>
      </c>
      <c r="H22" s="60" t="n">
        <v>32.2</v>
      </c>
      <c r="I22" s="60" t="n">
        <v>2.64</v>
      </c>
      <c r="J22" s="60" t="n">
        <v>38.1</v>
      </c>
      <c r="K22" s="60" t="n">
        <v>14.32</v>
      </c>
      <c r="L22" s="60" t="n">
        <v>47.42</v>
      </c>
      <c r="M22" s="60" t="n">
        <v>30.76</v>
      </c>
      <c r="N22" s="60" t="n">
        <v>41.15</v>
      </c>
      <c r="O22" s="60" t="n">
        <v>15.83</v>
      </c>
      <c r="P22" s="60" t="n">
        <v>38.8</v>
      </c>
    </row>
    <row r="23" customFormat="false" ht="15" hidden="false" customHeight="false" outlineLevel="0" collapsed="false">
      <c r="A23" s="22" t="s">
        <v>579</v>
      </c>
      <c r="B23" s="22" t="s">
        <v>580</v>
      </c>
      <c r="C23" s="22" t="s">
        <v>562</v>
      </c>
      <c r="D23" s="59" t="n">
        <v>12.05</v>
      </c>
      <c r="E23" s="59" t="n">
        <v>11.77</v>
      </c>
      <c r="F23" s="59" t="n">
        <v>12.34</v>
      </c>
      <c r="G23" s="59" t="n">
        <v>18.74</v>
      </c>
      <c r="H23" s="59" t="n">
        <v>10.56</v>
      </c>
      <c r="I23" s="59" t="n">
        <v>6.04</v>
      </c>
      <c r="J23" s="59" t="n">
        <v>12.82</v>
      </c>
      <c r="K23" s="59" t="n">
        <v>10.39</v>
      </c>
      <c r="L23" s="59" t="n">
        <v>13.15</v>
      </c>
      <c r="M23" s="59" t="n">
        <v>11.42</v>
      </c>
      <c r="N23" s="59" t="n">
        <v>13.33</v>
      </c>
      <c r="O23" s="59" t="n">
        <v>7.93</v>
      </c>
      <c r="P23" s="59" t="n">
        <v>13.08</v>
      </c>
    </row>
    <row r="24" customFormat="false" ht="15" hidden="false" customHeight="false" outlineLevel="0" collapsed="false">
      <c r="A24" s="23" t="s">
        <v>581</v>
      </c>
      <c r="B24" s="23" t="s">
        <v>582</v>
      </c>
      <c r="C24" s="23" t="s">
        <v>562</v>
      </c>
      <c r="D24" s="60" t="n">
        <v>58.06</v>
      </c>
      <c r="E24" s="60" t="n">
        <v>69.01</v>
      </c>
      <c r="F24" s="60" t="n">
        <v>46.58</v>
      </c>
      <c r="G24" s="60" t="n">
        <v>22.09</v>
      </c>
      <c r="H24" s="60" t="n">
        <v>66.05</v>
      </c>
      <c r="I24" s="60" t="n">
        <v>51.53</v>
      </c>
      <c r="J24" s="60" t="n">
        <v>58.81</v>
      </c>
      <c r="K24" s="60" t="n">
        <v>53.21</v>
      </c>
      <c r="L24" s="60" t="n">
        <v>61.29</v>
      </c>
      <c r="M24" s="60" t="n">
        <v>57.42</v>
      </c>
      <c r="N24" s="60" t="n">
        <v>59.35</v>
      </c>
      <c r="O24" s="60" t="n">
        <v>34.62</v>
      </c>
      <c r="P24" s="60" t="n">
        <v>63.94</v>
      </c>
    </row>
    <row r="25" customFormat="false" ht="15" hidden="false" customHeight="false" outlineLevel="0" collapsed="false">
      <c r="A25" s="22" t="s">
        <v>583</v>
      </c>
      <c r="B25" s="22" t="s">
        <v>584</v>
      </c>
      <c r="C25" s="22" t="s">
        <v>562</v>
      </c>
      <c r="D25" s="59" t="n">
        <v>32.7</v>
      </c>
      <c r="E25" s="59" t="n">
        <v>39.23</v>
      </c>
      <c r="F25" s="59" t="n">
        <v>25.86</v>
      </c>
      <c r="G25" s="59" t="n">
        <v>15.87</v>
      </c>
      <c r="H25" s="59" t="n">
        <v>36.44</v>
      </c>
      <c r="I25" s="59" t="n">
        <v>7.37</v>
      </c>
      <c r="J25" s="59" t="n">
        <v>35.83</v>
      </c>
      <c r="K25" s="59" t="n">
        <v>16.04</v>
      </c>
      <c r="L25" s="59" t="n">
        <v>43.79</v>
      </c>
      <c r="M25" s="59" t="n">
        <v>30.13</v>
      </c>
      <c r="N25" s="59" t="n">
        <v>37.93</v>
      </c>
      <c r="O25" s="59" t="n">
        <v>10.43</v>
      </c>
      <c r="P25" s="59" t="n">
        <v>38.29</v>
      </c>
    </row>
    <row r="26" customFormat="false" ht="15" hidden="false" customHeight="false" outlineLevel="0" collapsed="false">
      <c r="A26" s="23" t="s">
        <v>585</v>
      </c>
      <c r="B26" s="23" t="s">
        <v>586</v>
      </c>
      <c r="C26" s="23" t="s">
        <v>562</v>
      </c>
      <c r="D26" s="60" t="n">
        <v>25.06</v>
      </c>
      <c r="E26" s="60" t="n">
        <v>29.54</v>
      </c>
      <c r="F26" s="60" t="n">
        <v>20.37</v>
      </c>
      <c r="G26" s="60" t="n">
        <v>6.08</v>
      </c>
      <c r="H26" s="60" t="n">
        <v>29.28</v>
      </c>
      <c r="I26" s="60" t="n">
        <v>42.51</v>
      </c>
      <c r="J26" s="60" t="n">
        <v>22.91</v>
      </c>
      <c r="K26" s="60" t="n">
        <v>37.1</v>
      </c>
      <c r="L26" s="60" t="n">
        <v>17.05</v>
      </c>
      <c r="M26" s="60" t="n">
        <v>27.18</v>
      </c>
      <c r="N26" s="60" t="n">
        <v>20.77</v>
      </c>
      <c r="O26" s="60" t="n">
        <v>23.91</v>
      </c>
      <c r="P26" s="60" t="n">
        <v>25.35</v>
      </c>
    </row>
    <row r="27" customFormat="false" ht="15" hidden="false" customHeight="false" outlineLevel="0" collapsed="false">
      <c r="A27" s="22" t="s">
        <v>507</v>
      </c>
      <c r="B27" s="22" t="s">
        <v>508</v>
      </c>
      <c r="C27" s="22" t="s">
        <v>562</v>
      </c>
      <c r="D27" s="59" t="n">
        <v>61.57</v>
      </c>
      <c r="E27" s="59" t="n">
        <v>60.44</v>
      </c>
      <c r="F27" s="59" t="n">
        <v>62.76</v>
      </c>
      <c r="G27" s="59" t="n">
        <v>66.55</v>
      </c>
      <c r="H27" s="59" t="n">
        <v>60.47</v>
      </c>
      <c r="I27" s="59" t="n">
        <v>18.54</v>
      </c>
      <c r="J27" s="59" t="n">
        <v>66.98</v>
      </c>
      <c r="K27" s="59" t="n">
        <v>36.08</v>
      </c>
      <c r="L27" s="59" t="n">
        <v>78.54</v>
      </c>
      <c r="M27" s="59" t="n">
        <v>57.83</v>
      </c>
      <c r="N27" s="59" t="n">
        <v>69.19</v>
      </c>
      <c r="O27" s="59" t="n">
        <v>27.49</v>
      </c>
      <c r="P27" s="59" t="n">
        <v>70.13</v>
      </c>
    </row>
    <row r="28" customFormat="false" ht="15" hidden="false" customHeight="false" outlineLevel="0" collapsed="false">
      <c r="A28" s="23" t="s">
        <v>587</v>
      </c>
      <c r="B28" s="23" t="s">
        <v>588</v>
      </c>
      <c r="C28" s="23" t="s">
        <v>589</v>
      </c>
      <c r="D28" s="60" t="n">
        <v>68.57</v>
      </c>
      <c r="E28" s="60" t="n">
        <v>70.7</v>
      </c>
      <c r="F28" s="60" t="n">
        <v>66.34</v>
      </c>
      <c r="G28" s="60" t="n">
        <v>56.1</v>
      </c>
      <c r="H28" s="60" t="n">
        <v>71.34</v>
      </c>
      <c r="I28" s="60" t="n">
        <v>46.93</v>
      </c>
      <c r="J28" s="60" t="n">
        <v>71.3</v>
      </c>
      <c r="K28" s="60" t="n">
        <v>57.46</v>
      </c>
      <c r="L28" s="60" t="n">
        <v>75.96</v>
      </c>
      <c r="M28" s="60" t="n">
        <v>67.49</v>
      </c>
      <c r="N28" s="60" t="n">
        <v>70.76</v>
      </c>
      <c r="O28" s="60" t="n">
        <v>47.94</v>
      </c>
      <c r="P28" s="60" t="n">
        <v>73.75</v>
      </c>
    </row>
    <row r="29" customFormat="false" ht="15" hidden="false" customHeight="false" outlineLevel="0" collapsed="false">
      <c r="A29" s="22" t="s">
        <v>486</v>
      </c>
      <c r="B29" s="22" t="s">
        <v>487</v>
      </c>
      <c r="C29" s="22" t="s">
        <v>589</v>
      </c>
      <c r="D29" s="59" t="n">
        <v>43.09</v>
      </c>
      <c r="E29" s="59" t="n">
        <v>45.07</v>
      </c>
      <c r="F29" s="59" t="n">
        <v>41.01</v>
      </c>
      <c r="G29" s="59" t="n">
        <v>38.58</v>
      </c>
      <c r="H29" s="59" t="n">
        <v>44.09</v>
      </c>
      <c r="I29" s="59" t="n">
        <v>13.97</v>
      </c>
      <c r="J29" s="59" t="n">
        <v>46.71</v>
      </c>
      <c r="K29" s="59" t="n">
        <v>27.05</v>
      </c>
      <c r="L29" s="59" t="n">
        <v>53.76</v>
      </c>
      <c r="M29" s="59" t="n">
        <v>40.47</v>
      </c>
      <c r="N29" s="59" t="n">
        <v>48.41</v>
      </c>
      <c r="O29" s="59" t="n">
        <v>21.95</v>
      </c>
      <c r="P29" s="59" t="n">
        <v>48.39</v>
      </c>
    </row>
    <row r="30" customFormat="false" ht="15" hidden="false" customHeight="false" outlineLevel="0" collapsed="false">
      <c r="A30" s="23" t="s">
        <v>590</v>
      </c>
      <c r="B30" s="23" t="s">
        <v>591</v>
      </c>
      <c r="C30" s="23" t="s">
        <v>589</v>
      </c>
      <c r="D30" s="60" t="n">
        <v>10.06</v>
      </c>
      <c r="E30" s="60" t="n">
        <v>9.36</v>
      </c>
      <c r="F30" s="60" t="n">
        <v>10.8</v>
      </c>
      <c r="G30" s="60" t="n">
        <v>15.57</v>
      </c>
      <c r="H30" s="60" t="n">
        <v>8.84</v>
      </c>
      <c r="I30" s="60" t="n">
        <v>1.47</v>
      </c>
      <c r="J30" s="60" t="n">
        <v>11.16</v>
      </c>
      <c r="K30" s="60" t="n">
        <v>6.9</v>
      </c>
      <c r="L30" s="60" t="n">
        <v>12.16</v>
      </c>
      <c r="M30" s="60" t="n">
        <v>8.97</v>
      </c>
      <c r="N30" s="60" t="n">
        <v>12.27</v>
      </c>
      <c r="O30" s="60" t="n">
        <v>6.99</v>
      </c>
      <c r="P30" s="60" t="n">
        <v>10.83</v>
      </c>
    </row>
    <row r="31" customFormat="false" ht="15" hidden="false" customHeight="false" outlineLevel="0" collapsed="false">
      <c r="A31" s="22" t="s">
        <v>494</v>
      </c>
      <c r="B31" s="22" t="s">
        <v>495</v>
      </c>
      <c r="C31" s="22" t="s">
        <v>589</v>
      </c>
      <c r="D31" s="59" t="n">
        <v>20.16</v>
      </c>
      <c r="E31" s="59" t="n">
        <v>23.37</v>
      </c>
      <c r="F31" s="59" t="n">
        <v>16.81</v>
      </c>
      <c r="G31" s="59" t="n">
        <v>8.24</v>
      </c>
      <c r="H31" s="59" t="n">
        <v>22.81</v>
      </c>
      <c r="I31" s="59" t="n">
        <v>7.9</v>
      </c>
      <c r="J31" s="59" t="n">
        <v>21.74</v>
      </c>
      <c r="K31" s="59" t="n">
        <v>10.62</v>
      </c>
      <c r="L31" s="59" t="n">
        <v>26.51</v>
      </c>
      <c r="M31" s="59" t="n">
        <v>18</v>
      </c>
      <c r="N31" s="59" t="n">
        <v>24.56</v>
      </c>
      <c r="O31" s="59" t="n">
        <v>7.99</v>
      </c>
      <c r="P31" s="59" t="n">
        <v>23.22</v>
      </c>
    </row>
    <row r="32" customFormat="false" ht="15" hidden="false" customHeight="false" outlineLevel="0" collapsed="false">
      <c r="A32" s="23" t="s">
        <v>488</v>
      </c>
      <c r="B32" s="23" t="s">
        <v>489</v>
      </c>
      <c r="C32" s="23" t="s">
        <v>589</v>
      </c>
      <c r="D32" s="60" t="n">
        <v>19.64</v>
      </c>
      <c r="E32" s="60" t="n">
        <v>22.45</v>
      </c>
      <c r="F32" s="60" t="n">
        <v>16.7</v>
      </c>
      <c r="G32" s="60" t="n">
        <v>19.81</v>
      </c>
      <c r="H32" s="60" t="n">
        <v>19.6</v>
      </c>
      <c r="I32" s="60" t="n">
        <v>4.14</v>
      </c>
      <c r="J32" s="60" t="n">
        <v>21.51</v>
      </c>
      <c r="K32" s="60" t="n">
        <v>9.56</v>
      </c>
      <c r="L32" s="60" t="n">
        <v>26.36</v>
      </c>
      <c r="M32" s="60" t="n">
        <v>16.81</v>
      </c>
      <c r="N32" s="60" t="n">
        <v>25.4</v>
      </c>
      <c r="O32" s="60" t="n">
        <v>6.24</v>
      </c>
      <c r="P32" s="60" t="n">
        <v>23</v>
      </c>
    </row>
    <row r="33" customFormat="false" ht="15" hidden="false" customHeight="false" outlineLevel="0" collapsed="false">
      <c r="A33" s="22" t="s">
        <v>490</v>
      </c>
      <c r="B33" s="22" t="s">
        <v>491</v>
      </c>
      <c r="C33" s="22" t="s">
        <v>589</v>
      </c>
      <c r="D33" s="59" t="n">
        <v>58.38</v>
      </c>
      <c r="E33" s="59" t="n">
        <v>57.35</v>
      </c>
      <c r="F33" s="59" t="n">
        <v>59.46</v>
      </c>
      <c r="G33" s="59" t="n">
        <v>58.51</v>
      </c>
      <c r="H33" s="59" t="n">
        <v>58.35</v>
      </c>
      <c r="I33" s="59" t="n">
        <v>21.1</v>
      </c>
      <c r="J33" s="59" t="n">
        <v>63.17</v>
      </c>
      <c r="K33" s="59" t="n">
        <v>33.28</v>
      </c>
      <c r="L33" s="59" t="n">
        <v>75.09</v>
      </c>
      <c r="M33" s="59" t="n">
        <v>53.13</v>
      </c>
      <c r="N33" s="59" t="n">
        <v>69.03</v>
      </c>
      <c r="O33" s="59" t="n">
        <v>26.07</v>
      </c>
      <c r="P33" s="59" t="n">
        <v>66.48</v>
      </c>
    </row>
    <row r="34" customFormat="false" ht="15" hidden="false" customHeight="false" outlineLevel="0" collapsed="false">
      <c r="A34" s="23" t="s">
        <v>492</v>
      </c>
      <c r="B34" s="23" t="s">
        <v>493</v>
      </c>
      <c r="C34" s="23" t="s">
        <v>589</v>
      </c>
      <c r="D34" s="60" t="n">
        <v>29.98</v>
      </c>
      <c r="E34" s="60" t="n">
        <v>31.55</v>
      </c>
      <c r="F34" s="60" t="n">
        <v>28.33</v>
      </c>
      <c r="G34" s="60" t="n">
        <v>20.37</v>
      </c>
      <c r="H34" s="60" t="n">
        <v>32.12</v>
      </c>
      <c r="I34" s="60" t="n">
        <v>7.83</v>
      </c>
      <c r="J34" s="60" t="n">
        <v>32.7</v>
      </c>
      <c r="K34" s="60" t="n">
        <v>17.41</v>
      </c>
      <c r="L34" s="60" t="n">
        <v>38.35</v>
      </c>
      <c r="M34" s="60" t="n">
        <v>26.57</v>
      </c>
      <c r="N34" s="60" t="n">
        <v>36.9</v>
      </c>
      <c r="O34" s="60" t="n">
        <v>11.78</v>
      </c>
      <c r="P34" s="60" t="n">
        <v>34.55</v>
      </c>
    </row>
    <row r="35" customFormat="false" ht="15" hidden="false" customHeight="false" outlineLevel="0" collapsed="false">
      <c r="A35" s="22" t="s">
        <v>592</v>
      </c>
      <c r="B35" s="22" t="s">
        <v>593</v>
      </c>
      <c r="C35" s="22" t="s">
        <v>594</v>
      </c>
      <c r="D35" s="59" t="n">
        <v>43.2</v>
      </c>
      <c r="E35" s="59" t="n">
        <v>43.02</v>
      </c>
      <c r="F35" s="59" t="n">
        <v>43.38</v>
      </c>
      <c r="G35" s="59" t="n">
        <v>40.42</v>
      </c>
      <c r="H35" s="59" t="n">
        <v>43.81</v>
      </c>
      <c r="I35" s="59" t="n">
        <v>38.74</v>
      </c>
      <c r="J35" s="59" t="n">
        <v>43.77</v>
      </c>
      <c r="K35" s="59" t="n">
        <v>39.57</v>
      </c>
      <c r="L35" s="59" t="n">
        <v>45.61</v>
      </c>
      <c r="M35" s="59" t="n">
        <v>43.13</v>
      </c>
      <c r="N35" s="59" t="n">
        <v>43.34</v>
      </c>
      <c r="O35" s="59" t="n">
        <v>34.3</v>
      </c>
      <c r="P35" s="59" t="n">
        <v>45.43</v>
      </c>
    </row>
    <row r="36" customFormat="false" ht="15" hidden="false" customHeight="false" outlineLevel="0" collapsed="false">
      <c r="A36" s="23" t="s">
        <v>595</v>
      </c>
      <c r="B36" s="23" t="s">
        <v>596</v>
      </c>
      <c r="C36" s="23" t="s">
        <v>594</v>
      </c>
      <c r="D36" s="60" t="n">
        <v>33.59</v>
      </c>
      <c r="E36" s="60" t="n">
        <v>34.81</v>
      </c>
      <c r="F36" s="60" t="n">
        <v>32.31</v>
      </c>
      <c r="G36" s="60" t="n">
        <v>35.21</v>
      </c>
      <c r="H36" s="60" t="n">
        <v>33.23</v>
      </c>
      <c r="I36" s="60" t="n">
        <v>31.38</v>
      </c>
      <c r="J36" s="60" t="n">
        <v>33.86</v>
      </c>
      <c r="K36" s="60" t="n">
        <v>33.18</v>
      </c>
      <c r="L36" s="60" t="n">
        <v>33.86</v>
      </c>
      <c r="M36" s="60" t="n">
        <v>33.24</v>
      </c>
      <c r="N36" s="60" t="n">
        <v>34.29</v>
      </c>
      <c r="O36" s="60" t="n">
        <v>24.96</v>
      </c>
      <c r="P36" s="60" t="n">
        <v>35.75</v>
      </c>
    </row>
    <row r="37" customFormat="false" ht="15" hidden="false" customHeight="false" outlineLevel="0" collapsed="false">
      <c r="A37" s="22" t="s">
        <v>597</v>
      </c>
      <c r="B37" s="22" t="s">
        <v>598</v>
      </c>
      <c r="C37" s="22" t="s">
        <v>599</v>
      </c>
      <c r="D37" s="59" t="n">
        <v>17.06</v>
      </c>
      <c r="E37" s="59" t="n">
        <v>20.15</v>
      </c>
      <c r="F37" s="59" t="n">
        <v>13.82</v>
      </c>
      <c r="G37" s="59" t="n">
        <v>4.84</v>
      </c>
      <c r="H37" s="59" t="n">
        <v>19.77</v>
      </c>
      <c r="I37" s="59" t="n">
        <v>18.46</v>
      </c>
      <c r="J37" s="59" t="n">
        <v>16.8</v>
      </c>
      <c r="K37" s="59" t="n">
        <v>18.64</v>
      </c>
      <c r="L37" s="59" t="n">
        <v>16.01</v>
      </c>
      <c r="M37" s="59" t="n">
        <v>18.16</v>
      </c>
      <c r="N37" s="59" t="n">
        <v>14.83</v>
      </c>
      <c r="O37" s="59" t="n">
        <v>10.97</v>
      </c>
      <c r="P37" s="59" t="n">
        <v>18.59</v>
      </c>
    </row>
    <row r="38" customFormat="false" ht="15" hidden="false" customHeight="false" outlineLevel="0" collapsed="false">
      <c r="A38" s="23" t="s">
        <v>600</v>
      </c>
      <c r="B38" s="23" t="s">
        <v>601</v>
      </c>
      <c r="C38" s="23" t="s">
        <v>602</v>
      </c>
      <c r="D38" s="60" t="n">
        <v>45.62</v>
      </c>
      <c r="E38" s="60" t="n">
        <v>41.15</v>
      </c>
      <c r="F38" s="60" t="n">
        <v>50.31</v>
      </c>
      <c r="G38" s="60" t="n">
        <v>43.03</v>
      </c>
      <c r="H38" s="60" t="n">
        <v>46.2</v>
      </c>
      <c r="I38" s="60" t="n">
        <v>30.66</v>
      </c>
      <c r="J38" s="60" t="n">
        <v>47.58</v>
      </c>
      <c r="K38" s="60" t="n">
        <v>30.94</v>
      </c>
      <c r="L38" s="60" t="n">
        <v>55.39</v>
      </c>
      <c r="M38" s="60" t="n">
        <v>42.66</v>
      </c>
      <c r="N38" s="60" t="n">
        <v>51.64</v>
      </c>
      <c r="O38" s="60" t="n">
        <v>6.33</v>
      </c>
      <c r="P38" s="60" t="n">
        <v>55.48</v>
      </c>
    </row>
    <row r="39" customFormat="false" ht="15" hidden="false" customHeight="false" outlineLevel="0" collapsed="false">
      <c r="A39" s="22" t="s">
        <v>509</v>
      </c>
      <c r="B39" s="22" t="s">
        <v>510</v>
      </c>
      <c r="C39" s="22" t="s">
        <v>602</v>
      </c>
      <c r="D39" s="59" t="n">
        <v>36.99</v>
      </c>
      <c r="E39" s="59" t="n">
        <v>34.78</v>
      </c>
      <c r="F39" s="59" t="n">
        <v>39.31</v>
      </c>
      <c r="G39" s="59" t="n">
        <v>36.93</v>
      </c>
      <c r="H39" s="59" t="n">
        <v>37.01</v>
      </c>
      <c r="I39" s="59" t="n">
        <v>10.35</v>
      </c>
      <c r="J39" s="59" t="n">
        <v>40.4</v>
      </c>
      <c r="K39" s="59" t="n">
        <v>18.14</v>
      </c>
      <c r="L39" s="59" t="n">
        <v>49.54</v>
      </c>
      <c r="M39" s="59" t="n">
        <v>33.51</v>
      </c>
      <c r="N39" s="59" t="n">
        <v>44.06</v>
      </c>
      <c r="O39" s="59" t="n">
        <v>4.39</v>
      </c>
      <c r="P39" s="59" t="n">
        <v>45.17</v>
      </c>
    </row>
    <row r="40" customFormat="false" ht="15" hidden="false" customHeight="false" outlineLevel="0" collapsed="false">
      <c r="A40" s="23" t="s">
        <v>603</v>
      </c>
      <c r="B40" s="23" t="s">
        <v>604</v>
      </c>
      <c r="C40" s="23" t="s">
        <v>602</v>
      </c>
      <c r="D40" s="60" t="n">
        <v>19.66</v>
      </c>
      <c r="E40" s="60" t="n">
        <v>18.82</v>
      </c>
      <c r="F40" s="60" t="n">
        <v>20.55</v>
      </c>
      <c r="G40" s="60" t="n">
        <v>21.86</v>
      </c>
      <c r="H40" s="60" t="n">
        <v>19.18</v>
      </c>
      <c r="I40" s="60" t="n">
        <v>6.33</v>
      </c>
      <c r="J40" s="60" t="n">
        <v>21.37</v>
      </c>
      <c r="K40" s="60" t="n">
        <v>7.42</v>
      </c>
      <c r="L40" s="60" t="n">
        <v>27.81</v>
      </c>
      <c r="M40" s="60" t="n">
        <v>15.5</v>
      </c>
      <c r="N40" s="60" t="n">
        <v>28.11</v>
      </c>
      <c r="O40" s="60" t="n">
        <v>4.01</v>
      </c>
      <c r="P40" s="60" t="n">
        <v>23.59</v>
      </c>
    </row>
    <row r="41" customFormat="false" ht="15" hidden="false" customHeight="false" outlineLevel="0" collapsed="false">
      <c r="A41" s="22" t="s">
        <v>605</v>
      </c>
      <c r="B41" s="22" t="s">
        <v>606</v>
      </c>
      <c r="C41" s="22" t="s">
        <v>602</v>
      </c>
      <c r="D41" s="59" t="n">
        <v>23.75</v>
      </c>
      <c r="E41" s="59" t="n">
        <v>22.37</v>
      </c>
      <c r="F41" s="59" t="n">
        <v>25.2</v>
      </c>
      <c r="G41" s="59" t="n">
        <v>9.5</v>
      </c>
      <c r="H41" s="59" t="n">
        <v>26.92</v>
      </c>
      <c r="I41" s="59" t="n">
        <v>26.26</v>
      </c>
      <c r="J41" s="59" t="n">
        <v>23.48</v>
      </c>
      <c r="K41" s="59" t="n">
        <v>37.24</v>
      </c>
      <c r="L41" s="59" t="n">
        <v>14.78</v>
      </c>
      <c r="M41" s="59" t="n">
        <v>30.75</v>
      </c>
      <c r="N41" s="59" t="n">
        <v>9.54</v>
      </c>
      <c r="O41" s="59" t="n">
        <v>18.04</v>
      </c>
      <c r="P41" s="59" t="n">
        <v>25.19</v>
      </c>
    </row>
    <row r="42" customFormat="false" ht="15" hidden="false" customHeight="false" outlineLevel="0" collapsed="false">
      <c r="A42" s="23" t="s">
        <v>607</v>
      </c>
      <c r="B42" s="23" t="s">
        <v>608</v>
      </c>
      <c r="C42" s="23" t="s">
        <v>602</v>
      </c>
      <c r="D42" s="60" t="n">
        <v>17.48</v>
      </c>
      <c r="E42" s="60" t="n">
        <v>16.48</v>
      </c>
      <c r="F42" s="60" t="n">
        <v>18.52</v>
      </c>
      <c r="G42" s="60" t="n">
        <v>6.2</v>
      </c>
      <c r="H42" s="60" t="n">
        <v>19.98</v>
      </c>
      <c r="I42" s="60" t="n">
        <v>23.53</v>
      </c>
      <c r="J42" s="60" t="n">
        <v>16.75</v>
      </c>
      <c r="K42" s="60" t="n">
        <v>31.52</v>
      </c>
      <c r="L42" s="60" t="n">
        <v>8.13</v>
      </c>
      <c r="M42" s="60" t="n">
        <v>22.71</v>
      </c>
      <c r="N42" s="60" t="n">
        <v>6.86</v>
      </c>
      <c r="O42" s="60" t="n">
        <v>14.92</v>
      </c>
      <c r="P42" s="60" t="n">
        <v>18.12</v>
      </c>
    </row>
    <row r="43" customFormat="false" ht="15" hidden="false" customHeight="false" outlineLevel="0" collapsed="false">
      <c r="A43" s="22" t="s">
        <v>609</v>
      </c>
      <c r="B43" s="22" t="s">
        <v>610</v>
      </c>
      <c r="C43" s="22" t="s">
        <v>602</v>
      </c>
      <c r="D43" s="59" t="n">
        <v>29.36</v>
      </c>
      <c r="E43" s="59" t="n">
        <v>30.88</v>
      </c>
      <c r="F43" s="59" t="n">
        <v>27.77</v>
      </c>
      <c r="G43" s="59" t="n">
        <v>27.72</v>
      </c>
      <c r="H43" s="59" t="n">
        <v>29.73</v>
      </c>
      <c r="I43" s="59" t="n">
        <v>29.58</v>
      </c>
      <c r="J43" s="59" t="n">
        <v>29.32</v>
      </c>
      <c r="K43" s="59" t="n">
        <v>27.86</v>
      </c>
      <c r="L43" s="59" t="n">
        <v>30.36</v>
      </c>
      <c r="M43" s="59" t="n">
        <v>28.13</v>
      </c>
      <c r="N43" s="59" t="n">
        <v>31.85</v>
      </c>
      <c r="O43" s="59" t="n">
        <v>31.23</v>
      </c>
      <c r="P43" s="59" t="n">
        <v>28.89</v>
      </c>
    </row>
    <row r="44" customFormat="false" ht="15" hidden="false" customHeight="false" outlineLevel="0" collapsed="false">
      <c r="A44" s="23" t="s">
        <v>611</v>
      </c>
      <c r="B44" s="23" t="s">
        <v>612</v>
      </c>
      <c r="C44" s="23" t="s">
        <v>613</v>
      </c>
      <c r="D44" s="60" t="n">
        <v>16.63</v>
      </c>
      <c r="E44" s="60" t="n">
        <v>17.7</v>
      </c>
      <c r="F44" s="60" t="n">
        <v>15.51</v>
      </c>
      <c r="G44" s="60" t="n">
        <v>28.27</v>
      </c>
      <c r="H44" s="60" t="n">
        <v>14.04</v>
      </c>
      <c r="I44" s="60" t="n">
        <v>34.43</v>
      </c>
      <c r="J44" s="60" t="n">
        <v>14.42</v>
      </c>
      <c r="K44" s="60" t="n">
        <v>26.96</v>
      </c>
      <c r="L44" s="60" t="n">
        <v>9.76</v>
      </c>
      <c r="M44" s="60" t="n">
        <v>18.54</v>
      </c>
      <c r="N44" s="60" t="n">
        <v>12.75</v>
      </c>
      <c r="O44" s="60" t="n">
        <v>32.69</v>
      </c>
      <c r="P44" s="60" t="n">
        <v>12.6</v>
      </c>
    </row>
    <row r="45" customFormat="false" ht="15" hidden="false" customHeight="false" outlineLevel="0" collapsed="false">
      <c r="A45" s="22" t="s">
        <v>496</v>
      </c>
      <c r="B45" s="22" t="s">
        <v>497</v>
      </c>
      <c r="C45" s="22" t="s">
        <v>613</v>
      </c>
      <c r="D45" s="59" t="n">
        <v>49.79</v>
      </c>
      <c r="E45" s="59" t="n">
        <v>51.86</v>
      </c>
      <c r="F45" s="59" t="n">
        <v>47.61</v>
      </c>
      <c r="G45" s="59" t="n">
        <v>41.14</v>
      </c>
      <c r="H45" s="59" t="n">
        <v>51.71</v>
      </c>
      <c r="I45" s="59" t="n">
        <v>38.93</v>
      </c>
      <c r="J45" s="59" t="n">
        <v>51.24</v>
      </c>
      <c r="K45" s="59" t="n">
        <v>40.85</v>
      </c>
      <c r="L45" s="59" t="n">
        <v>55.73</v>
      </c>
      <c r="M45" s="59" t="n">
        <v>47.79</v>
      </c>
      <c r="N45" s="59" t="n">
        <v>53.84</v>
      </c>
      <c r="O45" s="59" t="n">
        <v>36.66</v>
      </c>
      <c r="P45" s="59" t="n">
        <v>53.08</v>
      </c>
    </row>
    <row r="46" customFormat="false" ht="15" hidden="false" customHeight="false" outlineLevel="0" collapsed="false">
      <c r="A46" s="23" t="s">
        <v>614</v>
      </c>
      <c r="B46" s="23" t="s">
        <v>615</v>
      </c>
      <c r="C46" s="23" t="s">
        <v>613</v>
      </c>
      <c r="D46" s="60" t="n">
        <v>48.85</v>
      </c>
      <c r="E46" s="60" t="n">
        <v>46.6</v>
      </c>
      <c r="F46" s="60" t="n">
        <v>51.2</v>
      </c>
      <c r="G46" s="60" t="n">
        <v>45.1</v>
      </c>
      <c r="H46" s="60" t="n">
        <v>49.68</v>
      </c>
      <c r="I46" s="60" t="n">
        <v>28.09</v>
      </c>
      <c r="J46" s="60" t="n">
        <v>51.48</v>
      </c>
      <c r="K46" s="60" t="n">
        <v>39.56</v>
      </c>
      <c r="L46" s="60" t="n">
        <v>55.03</v>
      </c>
      <c r="M46" s="60" t="n">
        <v>49.55</v>
      </c>
      <c r="N46" s="60" t="n">
        <v>47.43</v>
      </c>
      <c r="O46" s="60" t="n">
        <v>37.87</v>
      </c>
      <c r="P46" s="60" t="n">
        <v>51.6</v>
      </c>
    </row>
    <row r="47" customFormat="false" ht="15" hidden="false" customHeight="false" outlineLevel="0" collapsed="false">
      <c r="A47" s="22" t="s">
        <v>616</v>
      </c>
      <c r="B47" s="22" t="s">
        <v>617</v>
      </c>
      <c r="C47" s="22" t="s">
        <v>613</v>
      </c>
      <c r="D47" s="59" t="n">
        <v>19.83</v>
      </c>
      <c r="E47" s="59" t="n">
        <v>19.82</v>
      </c>
      <c r="F47" s="59" t="n">
        <v>19.85</v>
      </c>
      <c r="G47" s="59" t="n">
        <v>22.59</v>
      </c>
      <c r="H47" s="59" t="n">
        <v>19.22</v>
      </c>
      <c r="I47" s="59" t="n">
        <v>35.53</v>
      </c>
      <c r="J47" s="59" t="n">
        <v>17.78</v>
      </c>
      <c r="K47" s="59" t="n">
        <v>27.21</v>
      </c>
      <c r="L47" s="59" t="n">
        <v>14.92</v>
      </c>
      <c r="M47" s="59" t="n">
        <v>20.32</v>
      </c>
      <c r="N47" s="59" t="n">
        <v>18.85</v>
      </c>
      <c r="O47" s="59" t="n">
        <v>24.7</v>
      </c>
      <c r="P47" s="59" t="n">
        <v>18.61</v>
      </c>
    </row>
    <row r="48" customFormat="false" ht="15" hidden="false" customHeight="false" outlineLevel="0" collapsed="false">
      <c r="A48" s="23" t="s">
        <v>618</v>
      </c>
      <c r="B48" s="23" t="s">
        <v>619</v>
      </c>
      <c r="C48" s="23" t="s">
        <v>613</v>
      </c>
      <c r="D48" s="60" t="n">
        <v>16.68</v>
      </c>
      <c r="E48" s="60" t="n">
        <v>19.2</v>
      </c>
      <c r="F48" s="60" t="n">
        <v>14.03</v>
      </c>
      <c r="G48" s="60" t="n">
        <v>2.35</v>
      </c>
      <c r="H48" s="60" t="n">
        <v>19.86</v>
      </c>
      <c r="I48" s="60" t="n">
        <v>24.49</v>
      </c>
      <c r="J48" s="60" t="n">
        <v>15.72</v>
      </c>
      <c r="K48" s="60" t="n">
        <v>20.17</v>
      </c>
      <c r="L48" s="60" t="n">
        <v>14.35</v>
      </c>
      <c r="M48" s="60" t="n">
        <v>15.49</v>
      </c>
      <c r="N48" s="60" t="n">
        <v>19.09</v>
      </c>
      <c r="O48" s="60" t="n">
        <v>14.57</v>
      </c>
      <c r="P48" s="60" t="n">
        <v>17.2</v>
      </c>
    </row>
    <row r="49" customFormat="false" ht="15" hidden="false" customHeight="false" outlineLevel="0" collapsed="false">
      <c r="A49" s="22" t="s">
        <v>620</v>
      </c>
      <c r="B49" s="22" t="s">
        <v>621</v>
      </c>
      <c r="C49" s="22" t="s">
        <v>622</v>
      </c>
      <c r="D49" s="59" t="n">
        <v>87.88</v>
      </c>
      <c r="E49" s="59" t="n">
        <v>87.17</v>
      </c>
      <c r="F49" s="59" t="n">
        <v>88.62</v>
      </c>
      <c r="G49" s="59" t="n">
        <v>99.85</v>
      </c>
      <c r="H49" s="59" t="n">
        <v>85.21</v>
      </c>
      <c r="I49" s="59" t="n">
        <v>63.8</v>
      </c>
      <c r="J49" s="59" t="n">
        <v>90.94</v>
      </c>
      <c r="K49" s="59" t="n">
        <v>74.77</v>
      </c>
      <c r="L49" s="59" t="n">
        <v>96.6</v>
      </c>
      <c r="M49" s="59" t="n">
        <v>86.71</v>
      </c>
      <c r="N49" s="59" t="n">
        <v>90.25</v>
      </c>
      <c r="O49" s="59" t="n">
        <v>78.19</v>
      </c>
      <c r="P49" s="59" t="n">
        <v>90.3</v>
      </c>
    </row>
    <row r="50" customFormat="false" ht="15" hidden="false" customHeight="false" outlineLevel="0" collapsed="false">
      <c r="A50" s="23" t="s">
        <v>623</v>
      </c>
      <c r="B50" s="23" t="s">
        <v>624</v>
      </c>
      <c r="C50" s="23" t="s">
        <v>622</v>
      </c>
      <c r="D50" s="60" t="n">
        <v>97.78</v>
      </c>
      <c r="E50" s="60" t="n">
        <v>98.35</v>
      </c>
      <c r="F50" s="60" t="n">
        <v>97.18</v>
      </c>
      <c r="G50" s="60" t="n">
        <v>97.14</v>
      </c>
      <c r="H50" s="60" t="n">
        <v>97.92</v>
      </c>
      <c r="I50" s="60" t="n">
        <v>89.83</v>
      </c>
      <c r="J50" s="60" t="n">
        <v>98.77</v>
      </c>
      <c r="K50" s="60" t="n">
        <v>95.4</v>
      </c>
      <c r="L50" s="60" t="n">
        <v>99.36</v>
      </c>
      <c r="M50" s="60" t="n">
        <v>97.29</v>
      </c>
      <c r="N50" s="60" t="n">
        <v>98.77</v>
      </c>
      <c r="O50" s="60" t="n">
        <v>93.65</v>
      </c>
      <c r="P50" s="60" t="n">
        <v>98.81</v>
      </c>
    </row>
    <row r="51" customFormat="false" ht="15" hidden="false" customHeight="false" outlineLevel="0" collapsed="false">
      <c r="A51" s="22" t="s">
        <v>503</v>
      </c>
      <c r="B51" s="22" t="s">
        <v>504</v>
      </c>
      <c r="C51" s="22" t="s">
        <v>622</v>
      </c>
      <c r="D51" s="59" t="n">
        <v>85.44</v>
      </c>
      <c r="E51" s="59" t="n">
        <v>85.06</v>
      </c>
      <c r="F51" s="59" t="n">
        <v>85.83</v>
      </c>
      <c r="G51" s="59" t="n">
        <v>96.99</v>
      </c>
      <c r="H51" s="59" t="n">
        <v>82.87</v>
      </c>
      <c r="I51" s="59" t="n">
        <v>55.74</v>
      </c>
      <c r="J51" s="59" t="n">
        <v>89.21</v>
      </c>
      <c r="K51" s="59" t="n">
        <v>71.98</v>
      </c>
      <c r="L51" s="59" t="n">
        <v>94.4</v>
      </c>
      <c r="M51" s="59" t="n">
        <v>83.67</v>
      </c>
      <c r="N51" s="59" t="n">
        <v>89.02</v>
      </c>
      <c r="O51" s="59" t="n">
        <v>73.22</v>
      </c>
      <c r="P51" s="59" t="n">
        <v>88.5</v>
      </c>
    </row>
    <row r="52" customFormat="false" ht="15" hidden="false" customHeight="false" outlineLevel="0" collapsed="false">
      <c r="A52" s="23" t="s">
        <v>501</v>
      </c>
      <c r="B52" s="23" t="s">
        <v>502</v>
      </c>
      <c r="C52" s="23" t="s">
        <v>622</v>
      </c>
      <c r="D52" s="60" t="n">
        <v>83.93</v>
      </c>
      <c r="E52" s="60" t="n">
        <v>83.32</v>
      </c>
      <c r="F52" s="60" t="n">
        <v>84.57</v>
      </c>
      <c r="G52" s="60" t="n">
        <v>96.74</v>
      </c>
      <c r="H52" s="60" t="n">
        <v>81.09</v>
      </c>
      <c r="I52" s="60" t="n">
        <v>52.81</v>
      </c>
      <c r="J52" s="60" t="n">
        <v>87.88</v>
      </c>
      <c r="K52" s="60" t="n">
        <v>69.46</v>
      </c>
      <c r="L52" s="60" t="n">
        <v>93.56</v>
      </c>
      <c r="M52" s="60" t="n">
        <v>82.03</v>
      </c>
      <c r="N52" s="60" t="n">
        <v>87.79</v>
      </c>
      <c r="O52" s="60" t="n">
        <v>73.61</v>
      </c>
      <c r="P52" s="60" t="n">
        <v>86.52</v>
      </c>
    </row>
    <row r="53" customFormat="false" ht="15" hidden="false" customHeight="false" outlineLevel="0" collapsed="false">
      <c r="A53" s="22" t="s">
        <v>625</v>
      </c>
      <c r="B53" s="22" t="s">
        <v>626</v>
      </c>
      <c r="C53" s="22" t="s">
        <v>622</v>
      </c>
      <c r="D53" s="59" t="n">
        <v>66.43</v>
      </c>
      <c r="E53" s="59" t="n">
        <v>65.9</v>
      </c>
      <c r="F53" s="59" t="n">
        <v>66.98</v>
      </c>
      <c r="G53" s="59" t="n">
        <v>84.62</v>
      </c>
      <c r="H53" s="59" t="n">
        <v>62.39</v>
      </c>
      <c r="I53" s="59" t="n">
        <v>32.84</v>
      </c>
      <c r="J53" s="59" t="n">
        <v>70.65</v>
      </c>
      <c r="K53" s="59" t="n">
        <v>50.65</v>
      </c>
      <c r="L53" s="59" t="n">
        <v>76.93</v>
      </c>
      <c r="M53" s="59" t="n">
        <v>63.86</v>
      </c>
      <c r="N53" s="59" t="n">
        <v>71.65</v>
      </c>
      <c r="O53" s="59" t="n">
        <v>50.1</v>
      </c>
      <c r="P53" s="59" t="n">
        <v>70.53</v>
      </c>
    </row>
    <row r="54" customFormat="false" ht="15" hidden="false" customHeight="false" outlineLevel="0" collapsed="false">
      <c r="A54" s="23" t="s">
        <v>627</v>
      </c>
      <c r="B54" s="23" t="s">
        <v>628</v>
      </c>
      <c r="C54" s="23" t="s">
        <v>622</v>
      </c>
      <c r="D54" s="60" t="n">
        <v>83.17</v>
      </c>
      <c r="E54" s="60" t="n">
        <v>82.96</v>
      </c>
      <c r="F54" s="60" t="n">
        <v>83.39</v>
      </c>
      <c r="G54" s="60" t="n">
        <v>97.73</v>
      </c>
      <c r="H54" s="60" t="n">
        <v>79.93</v>
      </c>
      <c r="I54" s="60" t="n">
        <v>49.45</v>
      </c>
      <c r="J54" s="60" t="n">
        <v>87.44</v>
      </c>
      <c r="K54" s="60" t="n">
        <v>67.2</v>
      </c>
      <c r="L54" s="60" t="n">
        <v>93.79</v>
      </c>
      <c r="M54" s="60" t="n">
        <v>81.59</v>
      </c>
      <c r="N54" s="60" t="n">
        <v>86.38</v>
      </c>
      <c r="O54" s="60" t="n">
        <v>68.85</v>
      </c>
      <c r="P54" s="60" t="n">
        <v>86.76</v>
      </c>
    </row>
    <row r="55" customFormat="false" ht="15" hidden="false" customHeight="false" outlineLevel="0" collapsed="false">
      <c r="A55" s="22" t="s">
        <v>629</v>
      </c>
      <c r="B55" s="22" t="s">
        <v>630</v>
      </c>
      <c r="C55" s="22" t="s">
        <v>622</v>
      </c>
      <c r="D55" s="59" t="n">
        <v>11.76</v>
      </c>
      <c r="E55" s="59" t="n">
        <v>12.2</v>
      </c>
      <c r="F55" s="59" t="n">
        <v>11.3</v>
      </c>
      <c r="G55" s="59" t="n">
        <v>17.61</v>
      </c>
      <c r="H55" s="59" t="n">
        <v>10.46</v>
      </c>
      <c r="I55" s="59" t="n">
        <v>2.98</v>
      </c>
      <c r="J55" s="59" t="n">
        <v>12.88</v>
      </c>
      <c r="K55" s="59" t="n">
        <v>6.4</v>
      </c>
      <c r="L55" s="59" t="n">
        <v>15.33</v>
      </c>
      <c r="M55" s="59" t="n">
        <v>8.84</v>
      </c>
      <c r="N55" s="59" t="n">
        <v>17.69</v>
      </c>
      <c r="O55" s="59" t="n">
        <v>7.79</v>
      </c>
      <c r="P55" s="59" t="n">
        <v>12.76</v>
      </c>
    </row>
  </sheetData>
  <autoFilter ref="A4:P5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6"/>
    <col collapsed="false" customWidth="true" hidden="false" outlineLevel="0" max="3" min="3" style="0" width="12"/>
    <col collapsed="false" customWidth="true" hidden="false" outlineLevel="0" max="5" min="4" style="0" width="17"/>
    <col collapsed="false" customWidth="true" hidden="false" outlineLevel="0" max="8" min="6" style="0" width="13"/>
    <col collapsed="false" customWidth="true" hidden="false" outlineLevel="0" max="9" min="9" style="0" width="14"/>
  </cols>
  <sheetData>
    <row r="1" customFormat="false" ht="17.35" hidden="false" customHeight="false" outlineLevel="0" collapsed="false">
      <c r="A1" s="1" t="s">
        <v>631</v>
      </c>
    </row>
    <row r="2" customFormat="false" ht="15" hidden="false" customHeight="false" outlineLevel="0" collapsed="false">
      <c r="A2" s="8" t="s">
        <v>632</v>
      </c>
    </row>
    <row r="4" customFormat="false" ht="45.75" hidden="false" customHeight="true" outlineLevel="0" collapsed="false">
      <c r="A4" s="9" t="s">
        <v>483</v>
      </c>
      <c r="B4" s="9" t="s">
        <v>267</v>
      </c>
      <c r="C4" s="10" t="s">
        <v>522</v>
      </c>
      <c r="D4" s="10" t="s">
        <v>633</v>
      </c>
      <c r="E4" s="10" t="s">
        <v>634</v>
      </c>
      <c r="F4" s="10" t="s">
        <v>635</v>
      </c>
      <c r="G4" s="10" t="s">
        <v>636</v>
      </c>
      <c r="H4" s="10" t="s">
        <v>637</v>
      </c>
      <c r="I4" s="10" t="s">
        <v>638</v>
      </c>
    </row>
    <row r="5" customFormat="false" ht="15" hidden="false" customHeight="false" outlineLevel="0" collapsed="false">
      <c r="A5" s="22" t="s">
        <v>546</v>
      </c>
      <c r="B5" s="22" t="s">
        <v>547</v>
      </c>
      <c r="C5" s="13" t="n">
        <f aca="false">'Segments 2024'!D5</f>
        <v>70.55</v>
      </c>
      <c r="D5" s="13" t="n">
        <f aca="false">'Segments 2024'!L5-'Segments 2024'!K5</f>
        <v>37.38</v>
      </c>
      <c r="E5" s="13" t="n">
        <f aca="false">'Segments 2024'!J5-'Segments 2024'!I5</f>
        <v>41.74</v>
      </c>
      <c r="F5" s="13" t="n">
        <f aca="false">'Segments 2024'!N5-'Segments 2024'!M5</f>
        <v>9.64</v>
      </c>
      <c r="G5" s="13" t="n">
        <f aca="false">'Segments 2024'!F5-'Segments 2024'!E5</f>
        <v>1.37</v>
      </c>
      <c r="H5" s="13" t="n">
        <f aca="false">'Segments 2024'!G5-'Segments 2024'!H5</f>
        <v>1.97</v>
      </c>
      <c r="I5" s="13" t="n">
        <f aca="false">'Segments 2024'!P5-'Segments 2024'!O5</f>
        <v>36.58</v>
      </c>
    </row>
    <row r="6" customFormat="false" ht="15" hidden="false" customHeight="false" outlineLevel="0" collapsed="false">
      <c r="A6" s="23" t="s">
        <v>549</v>
      </c>
      <c r="B6" s="23" t="s">
        <v>547</v>
      </c>
      <c r="C6" s="18" t="n">
        <f aca="false">'Segments 2024'!D6</f>
        <v>69.85</v>
      </c>
      <c r="D6" s="18" t="n">
        <f aca="false">'Segments 2024'!L6-'Segments 2024'!K6</f>
        <v>36.97</v>
      </c>
      <c r="E6" s="18" t="n">
        <f aca="false">'Segments 2024'!J6-'Segments 2024'!I6</f>
        <v>41.33</v>
      </c>
      <c r="F6" s="18" t="n">
        <f aca="false">'Segments 2024'!N6-'Segments 2024'!M6</f>
        <v>10.29</v>
      </c>
      <c r="G6" s="18" t="n">
        <f aca="false">'Segments 2024'!F6-'Segments 2024'!E6</f>
        <v>0.890000000000001</v>
      </c>
      <c r="H6" s="18" t="n">
        <f aca="false">'Segments 2024'!G6-'Segments 2024'!H6</f>
        <v>0.890000000000001</v>
      </c>
      <c r="I6" s="18" t="n">
        <f aca="false">'Segments 2024'!P6-'Segments 2024'!O6</f>
        <v>36.43</v>
      </c>
    </row>
    <row r="7" customFormat="false" ht="15" hidden="false" customHeight="false" outlineLevel="0" collapsed="false">
      <c r="A7" s="22" t="s">
        <v>551</v>
      </c>
      <c r="B7" s="22" t="s">
        <v>547</v>
      </c>
      <c r="C7" s="13" t="n">
        <f aca="false">'Segments 2024'!D7</f>
        <v>38.72</v>
      </c>
      <c r="D7" s="13" t="n">
        <f aca="false">'Segments 2024'!L7-'Segments 2024'!K7</f>
        <v>27.32</v>
      </c>
      <c r="E7" s="13" t="n">
        <f aca="false">'Segments 2024'!J7-'Segments 2024'!I7</f>
        <v>30.69</v>
      </c>
      <c r="F7" s="13" t="n">
        <f aca="false">'Segments 2024'!N7-'Segments 2024'!M7</f>
        <v>7.67</v>
      </c>
      <c r="G7" s="13" t="n">
        <f aca="false">'Segments 2024'!F7-'Segments 2024'!E7</f>
        <v>3.49</v>
      </c>
      <c r="H7" s="13" t="n">
        <f aca="false">'Segments 2024'!G7-'Segments 2024'!H7</f>
        <v>15.65</v>
      </c>
      <c r="I7" s="13" t="n">
        <f aca="false">'Segments 2024'!P7-'Segments 2024'!O7</f>
        <v>25.67</v>
      </c>
    </row>
    <row r="8" customFormat="false" ht="15" hidden="false" customHeight="false" outlineLevel="0" collapsed="false">
      <c r="A8" s="23" t="s">
        <v>500</v>
      </c>
      <c r="B8" s="23" t="s">
        <v>547</v>
      </c>
      <c r="C8" s="18" t="n">
        <f aca="false">'Segments 2024'!D8</f>
        <v>62.74</v>
      </c>
      <c r="D8" s="18" t="n">
        <f aca="false">'Segments 2024'!L8-'Segments 2024'!K8</f>
        <v>41.91</v>
      </c>
      <c r="E8" s="18" t="n">
        <f aca="false">'Segments 2024'!J8-'Segments 2024'!I8</f>
        <v>48.39</v>
      </c>
      <c r="F8" s="18" t="n">
        <f aca="false">'Segments 2024'!N8-'Segments 2024'!M8</f>
        <v>10.43</v>
      </c>
      <c r="G8" s="18" t="n">
        <f aca="false">'Segments 2024'!F8-'Segments 2024'!E8</f>
        <v>0.719999999999999</v>
      </c>
      <c r="H8" s="18" t="n">
        <f aca="false">'Segments 2024'!G8-'Segments 2024'!H8</f>
        <v>10.17</v>
      </c>
      <c r="I8" s="18" t="n">
        <f aca="false">'Segments 2024'!P8-'Segments 2024'!O8</f>
        <v>39.3</v>
      </c>
    </row>
    <row r="9" customFormat="false" ht="15" hidden="false" customHeight="false" outlineLevel="0" collapsed="false">
      <c r="A9" s="22" t="s">
        <v>553</v>
      </c>
      <c r="B9" s="22" t="s">
        <v>547</v>
      </c>
      <c r="C9" s="13" t="n">
        <f aca="false">'Segments 2024'!D9</f>
        <v>64.82</v>
      </c>
      <c r="D9" s="13" t="n">
        <f aca="false">'Segments 2024'!L9-'Segments 2024'!K9</f>
        <v>37.71</v>
      </c>
      <c r="E9" s="13" t="n">
        <f aca="false">'Segments 2024'!J9-'Segments 2024'!I9</f>
        <v>43.25</v>
      </c>
      <c r="F9" s="13" t="n">
        <f aca="false">'Segments 2024'!N9-'Segments 2024'!M9</f>
        <v>13.21</v>
      </c>
      <c r="G9" s="13" t="n">
        <f aca="false">'Segments 2024'!F9-'Segments 2024'!E9</f>
        <v>2.39000000000001</v>
      </c>
      <c r="H9" s="13" t="n">
        <f aca="false">'Segments 2024'!G9-'Segments 2024'!H9</f>
        <v>-0.169999999999988</v>
      </c>
      <c r="I9" s="13" t="n">
        <f aca="false">'Segments 2024'!P9-'Segments 2024'!O9</f>
        <v>41.13</v>
      </c>
    </row>
    <row r="10" customFormat="false" ht="15" hidden="false" customHeight="false" outlineLevel="0" collapsed="false">
      <c r="A10" s="23" t="s">
        <v>555</v>
      </c>
      <c r="B10" s="23" t="s">
        <v>547</v>
      </c>
      <c r="C10" s="18" t="n">
        <f aca="false">'Segments 2024'!D10</f>
        <v>43.49</v>
      </c>
      <c r="D10" s="18" t="n">
        <f aca="false">'Segments 2024'!L10-'Segments 2024'!K10</f>
        <v>28.27</v>
      </c>
      <c r="E10" s="18" t="n">
        <f aca="false">'Segments 2024'!J10-'Segments 2024'!I10</f>
        <v>27.29</v>
      </c>
      <c r="F10" s="18" t="n">
        <f aca="false">'Segments 2024'!N10-'Segments 2024'!M10</f>
        <v>12.6</v>
      </c>
      <c r="G10" s="18" t="n">
        <f aca="false">'Segments 2024'!F10-'Segments 2024'!E10</f>
        <v>2.91</v>
      </c>
      <c r="H10" s="18" t="n">
        <f aca="false">'Segments 2024'!G10-'Segments 2024'!H10</f>
        <v>-8.24</v>
      </c>
      <c r="I10" s="18" t="n">
        <f aca="false">'Segments 2024'!P10-'Segments 2024'!O10</f>
        <v>34.34</v>
      </c>
    </row>
    <row r="11" customFormat="false" ht="15" hidden="false" customHeight="false" outlineLevel="0" collapsed="false">
      <c r="A11" s="22" t="s">
        <v>557</v>
      </c>
      <c r="B11" s="22" t="s">
        <v>547</v>
      </c>
      <c r="C11" s="13" t="n">
        <f aca="false">'Segments 2024'!D11</f>
        <v>16.51</v>
      </c>
      <c r="D11" s="13" t="n">
        <f aca="false">'Segments 2024'!L11-'Segments 2024'!K11</f>
        <v>-16.04</v>
      </c>
      <c r="E11" s="13" t="n">
        <f aca="false">'Segments 2024'!J11-'Segments 2024'!I11</f>
        <v>-12.94</v>
      </c>
      <c r="F11" s="13" t="n">
        <f aca="false">'Segments 2024'!N11-'Segments 2024'!M11</f>
        <v>-4.12</v>
      </c>
      <c r="G11" s="13" t="n">
        <f aca="false">'Segments 2024'!F11-'Segments 2024'!E11</f>
        <v>-4.73</v>
      </c>
      <c r="H11" s="13" t="n">
        <f aca="false">'Segments 2024'!G11-'Segments 2024'!H11</f>
        <v>4.32</v>
      </c>
      <c r="I11" s="13" t="n">
        <f aca="false">'Segments 2024'!P11-'Segments 2024'!O11</f>
        <v>-21.33</v>
      </c>
    </row>
    <row r="12" customFormat="false" ht="15" hidden="false" customHeight="false" outlineLevel="0" collapsed="false">
      <c r="A12" s="23" t="s">
        <v>559</v>
      </c>
      <c r="B12" s="23" t="s">
        <v>547</v>
      </c>
      <c r="C12" s="18" t="n">
        <f aca="false">'Segments 2024'!D12</f>
        <v>21.13</v>
      </c>
      <c r="D12" s="18" t="n">
        <f aca="false">'Segments 2024'!L12-'Segments 2024'!K12</f>
        <v>-26.73</v>
      </c>
      <c r="E12" s="18" t="n">
        <f aca="false">'Segments 2024'!J12-'Segments 2024'!I12</f>
        <v>-36.71</v>
      </c>
      <c r="F12" s="18" t="n">
        <f aca="false">'Segments 2024'!N12-'Segments 2024'!M12</f>
        <v>-2.09</v>
      </c>
      <c r="G12" s="18" t="n">
        <f aca="false">'Segments 2024'!F12-'Segments 2024'!E12</f>
        <v>-2.05</v>
      </c>
      <c r="H12" s="18" t="n">
        <f aca="false">'Segments 2024'!G12-'Segments 2024'!H12</f>
        <v>-12.52</v>
      </c>
      <c r="I12" s="18" t="n">
        <f aca="false">'Segments 2024'!P12-'Segments 2024'!O12</f>
        <v>-20.07</v>
      </c>
    </row>
    <row r="13" customFormat="false" ht="15" hidden="false" customHeight="false" outlineLevel="0" collapsed="false">
      <c r="A13" s="22" t="s">
        <v>561</v>
      </c>
      <c r="B13" s="22" t="s">
        <v>562</v>
      </c>
      <c r="C13" s="13" t="n">
        <f aca="false">'Segments 2024'!D13</f>
        <v>62.38</v>
      </c>
      <c r="D13" s="13" t="n">
        <f aca="false">'Segments 2024'!L13-'Segments 2024'!K13</f>
        <v>39.62</v>
      </c>
      <c r="E13" s="13" t="n">
        <f aca="false">'Segments 2024'!J13-'Segments 2024'!I13</f>
        <v>40.42</v>
      </c>
      <c r="F13" s="13" t="n">
        <f aca="false">'Segments 2024'!N13-'Segments 2024'!M13</f>
        <v>8.67</v>
      </c>
      <c r="G13" s="13" t="n">
        <f aca="false">'Segments 2024'!F13-'Segments 2024'!E13</f>
        <v>2</v>
      </c>
      <c r="H13" s="13" t="n">
        <f aca="false">'Segments 2024'!G13-'Segments 2024'!H13</f>
        <v>5.15000000000001</v>
      </c>
      <c r="I13" s="13" t="n">
        <f aca="false">'Segments 2024'!P13-'Segments 2024'!O13</f>
        <v>39.33</v>
      </c>
    </row>
    <row r="14" customFormat="false" ht="15" hidden="false" customHeight="false" outlineLevel="0" collapsed="false">
      <c r="A14" s="23" t="s">
        <v>564</v>
      </c>
      <c r="B14" s="23" t="s">
        <v>562</v>
      </c>
      <c r="C14" s="18" t="n">
        <f aca="false">'Segments 2024'!D14</f>
        <v>56.47</v>
      </c>
      <c r="D14" s="18" t="n">
        <f aca="false">'Segments 2024'!L14-'Segments 2024'!K14</f>
        <v>42.21</v>
      </c>
      <c r="E14" s="18" t="n">
        <f aca="false">'Segments 2024'!J14-'Segments 2024'!I14</f>
        <v>44.89</v>
      </c>
      <c r="F14" s="18" t="n">
        <f aca="false">'Segments 2024'!N14-'Segments 2024'!M14</f>
        <v>7</v>
      </c>
      <c r="G14" s="18" t="n">
        <f aca="false">'Segments 2024'!F14-'Segments 2024'!E14</f>
        <v>-0.120000000000005</v>
      </c>
      <c r="H14" s="18" t="n">
        <f aca="false">'Segments 2024'!G14-'Segments 2024'!H14</f>
        <v>8.2</v>
      </c>
      <c r="I14" s="18" t="n">
        <f aca="false">'Segments 2024'!P14-'Segments 2024'!O14</f>
        <v>39.31</v>
      </c>
    </row>
    <row r="15" customFormat="false" ht="15" hidden="false" customHeight="false" outlineLevel="0" collapsed="false">
      <c r="A15" s="22" t="s">
        <v>566</v>
      </c>
      <c r="B15" s="22" t="s">
        <v>562</v>
      </c>
      <c r="C15" s="13" t="n">
        <f aca="false">'Segments 2024'!D15</f>
        <v>48.05</v>
      </c>
      <c r="D15" s="13" t="n">
        <f aca="false">'Segments 2024'!L15-'Segments 2024'!K15</f>
        <v>34.83</v>
      </c>
      <c r="E15" s="13" t="n">
        <f aca="false">'Segments 2024'!J15-'Segments 2024'!I15</f>
        <v>34.63</v>
      </c>
      <c r="F15" s="13" t="n">
        <f aca="false">'Segments 2024'!N15-'Segments 2024'!M15</f>
        <v>10.19</v>
      </c>
      <c r="G15" s="13" t="n">
        <f aca="false">'Segments 2024'!F15-'Segments 2024'!E15</f>
        <v>3.6</v>
      </c>
      <c r="H15" s="13" t="n">
        <f aca="false">'Segments 2024'!G15-'Segments 2024'!H15</f>
        <v>-1.15</v>
      </c>
      <c r="I15" s="13" t="n">
        <f aca="false">'Segments 2024'!P15-'Segments 2024'!O15</f>
        <v>38.54</v>
      </c>
    </row>
    <row r="16" customFormat="false" ht="15" hidden="false" customHeight="false" outlineLevel="0" collapsed="false">
      <c r="A16" s="23" t="s">
        <v>568</v>
      </c>
      <c r="B16" s="23" t="s">
        <v>562</v>
      </c>
      <c r="C16" s="18" t="n">
        <f aca="false">'Segments 2024'!D16</f>
        <v>60.68</v>
      </c>
      <c r="D16" s="18" t="n">
        <f aca="false">'Segments 2024'!L16-'Segments 2024'!K16</f>
        <v>40.98</v>
      </c>
      <c r="E16" s="18" t="n">
        <f aca="false">'Segments 2024'!J16-'Segments 2024'!I16</f>
        <v>48.33</v>
      </c>
      <c r="F16" s="18" t="n">
        <f aca="false">'Segments 2024'!N16-'Segments 2024'!M16</f>
        <v>10.92</v>
      </c>
      <c r="G16" s="18" t="n">
        <f aca="false">'Segments 2024'!F16-'Segments 2024'!E16</f>
        <v>0.490000000000002</v>
      </c>
      <c r="H16" s="18" t="n">
        <f aca="false">'Segments 2024'!G16-'Segments 2024'!H16</f>
        <v>7.69</v>
      </c>
      <c r="I16" s="18" t="n">
        <f aca="false">'Segments 2024'!P16-'Segments 2024'!O16</f>
        <v>39.89</v>
      </c>
    </row>
    <row r="17" customFormat="false" ht="15" hidden="false" customHeight="false" outlineLevel="0" collapsed="false">
      <c r="A17" s="22" t="s">
        <v>570</v>
      </c>
      <c r="B17" s="22" t="s">
        <v>562</v>
      </c>
      <c r="C17" s="13" t="n">
        <f aca="false">'Segments 2024'!D17</f>
        <v>51.13</v>
      </c>
      <c r="D17" s="13" t="n">
        <f aca="false">'Segments 2024'!L17-'Segments 2024'!K17</f>
        <v>41.05</v>
      </c>
      <c r="E17" s="13" t="n">
        <f aca="false">'Segments 2024'!J17-'Segments 2024'!I17</f>
        <v>48.5</v>
      </c>
      <c r="F17" s="13" t="n">
        <f aca="false">'Segments 2024'!N17-'Segments 2024'!M17</f>
        <v>10.41</v>
      </c>
      <c r="G17" s="13" t="n">
        <f aca="false">'Segments 2024'!F17-'Segments 2024'!E17</f>
        <v>-3.21</v>
      </c>
      <c r="H17" s="13" t="n">
        <f aca="false">'Segments 2024'!G17-'Segments 2024'!H17</f>
        <v>11.77</v>
      </c>
      <c r="I17" s="13" t="n">
        <f aca="false">'Segments 2024'!P17-'Segments 2024'!O17</f>
        <v>36.27</v>
      </c>
    </row>
    <row r="18" customFormat="false" ht="15" hidden="false" customHeight="false" outlineLevel="0" collapsed="false">
      <c r="A18" s="23" t="s">
        <v>572</v>
      </c>
      <c r="B18" s="23" t="s">
        <v>562</v>
      </c>
      <c r="C18" s="18" t="n">
        <f aca="false">'Segments 2024'!D18</f>
        <v>48.26</v>
      </c>
      <c r="D18" s="18" t="n">
        <f aca="false">'Segments 2024'!L18-'Segments 2024'!K18</f>
        <v>41.02</v>
      </c>
      <c r="E18" s="18" t="n">
        <f aca="false">'Segments 2024'!J18-'Segments 2024'!I18</f>
        <v>46.04</v>
      </c>
      <c r="F18" s="18" t="n">
        <f aca="false">'Segments 2024'!N18-'Segments 2024'!M18</f>
        <v>11.65</v>
      </c>
      <c r="G18" s="18" t="n">
        <f aca="false">'Segments 2024'!F18-'Segments 2024'!E18</f>
        <v>-2.5</v>
      </c>
      <c r="H18" s="18" t="n">
        <f aca="false">'Segments 2024'!G18-'Segments 2024'!H18</f>
        <v>10.64</v>
      </c>
      <c r="I18" s="18" t="n">
        <f aca="false">'Segments 2024'!P18-'Segments 2024'!O18</f>
        <v>33.57</v>
      </c>
    </row>
    <row r="19" customFormat="false" ht="15" hidden="false" customHeight="false" outlineLevel="0" collapsed="false">
      <c r="A19" s="22" t="s">
        <v>506</v>
      </c>
      <c r="B19" s="22" t="s">
        <v>562</v>
      </c>
      <c r="C19" s="13" t="n">
        <f aca="false">'Segments 2024'!D19</f>
        <v>25.66</v>
      </c>
      <c r="D19" s="13" t="n">
        <f aca="false">'Segments 2024'!L19-'Segments 2024'!K19</f>
        <v>26.45</v>
      </c>
      <c r="E19" s="13" t="n">
        <f aca="false">'Segments 2024'!J19-'Segments 2024'!I19</f>
        <v>26.71</v>
      </c>
      <c r="F19" s="13" t="n">
        <f aca="false">'Segments 2024'!N19-'Segments 2024'!M19</f>
        <v>15.4</v>
      </c>
      <c r="G19" s="13" t="n">
        <f aca="false">'Segments 2024'!F19-'Segments 2024'!E19</f>
        <v>-4.91</v>
      </c>
      <c r="H19" s="13" t="n">
        <f aca="false">'Segments 2024'!G19-'Segments 2024'!H19</f>
        <v>4</v>
      </c>
      <c r="I19" s="13" t="n">
        <f aca="false">'Segments 2024'!P19-'Segments 2024'!O19</f>
        <v>20.03</v>
      </c>
    </row>
    <row r="20" customFormat="false" ht="15" hidden="false" customHeight="false" outlineLevel="0" collapsed="false">
      <c r="A20" s="23" t="s">
        <v>574</v>
      </c>
      <c r="B20" s="23" t="s">
        <v>562</v>
      </c>
      <c r="C20" s="18" t="n">
        <f aca="false">'Segments 2024'!D20</f>
        <v>45.5</v>
      </c>
      <c r="D20" s="18" t="n">
        <f aca="false">'Segments 2024'!L20-'Segments 2024'!K20</f>
        <v>36.61</v>
      </c>
      <c r="E20" s="18" t="n">
        <f aca="false">'Segments 2024'!J20-'Segments 2024'!I20</f>
        <v>39.4</v>
      </c>
      <c r="F20" s="18" t="n">
        <f aca="false">'Segments 2024'!N20-'Segments 2024'!M20</f>
        <v>9.62000000000001</v>
      </c>
      <c r="G20" s="18" t="n">
        <f aca="false">'Segments 2024'!F20-'Segments 2024'!E20</f>
        <v>-2.84</v>
      </c>
      <c r="H20" s="18" t="n">
        <f aca="false">'Segments 2024'!G20-'Segments 2024'!H20</f>
        <v>-5.8</v>
      </c>
      <c r="I20" s="18" t="n">
        <f aca="false">'Segments 2024'!P20-'Segments 2024'!O20</f>
        <v>36.73</v>
      </c>
    </row>
    <row r="21" customFormat="false" ht="15" hidden="false" customHeight="false" outlineLevel="0" collapsed="false">
      <c r="A21" s="22" t="s">
        <v>576</v>
      </c>
      <c r="B21" s="22" t="s">
        <v>562</v>
      </c>
      <c r="C21" s="13" t="n">
        <f aca="false">'Segments 2024'!D21</f>
        <v>46.24</v>
      </c>
      <c r="D21" s="13" t="n">
        <f aca="false">'Segments 2024'!L21-'Segments 2024'!K21</f>
        <v>35.86</v>
      </c>
      <c r="E21" s="13" t="n">
        <f aca="false">'Segments 2024'!J21-'Segments 2024'!I21</f>
        <v>42.25</v>
      </c>
      <c r="F21" s="13" t="n">
        <f aca="false">'Segments 2024'!N21-'Segments 2024'!M21</f>
        <v>12.3</v>
      </c>
      <c r="G21" s="13" t="n">
        <f aca="false">'Segments 2024'!F21-'Segments 2024'!E21</f>
        <v>-9.94000000000001</v>
      </c>
      <c r="H21" s="13" t="n">
        <f aca="false">'Segments 2024'!G21-'Segments 2024'!H21</f>
        <v>19.13</v>
      </c>
      <c r="I21" s="13" t="n">
        <f aca="false">'Segments 2024'!P21-'Segments 2024'!O21</f>
        <v>28.13</v>
      </c>
    </row>
    <row r="22" customFormat="false" ht="15" hidden="false" customHeight="false" outlineLevel="0" collapsed="false">
      <c r="A22" s="23" t="s">
        <v>578</v>
      </c>
      <c r="B22" s="23" t="s">
        <v>562</v>
      </c>
      <c r="C22" s="18" t="n">
        <f aca="false">'Segments 2024'!D22</f>
        <v>34.19</v>
      </c>
      <c r="D22" s="18" t="n">
        <f aca="false">'Segments 2024'!L22-'Segments 2024'!K22</f>
        <v>33.1</v>
      </c>
      <c r="E22" s="18" t="n">
        <f aca="false">'Segments 2024'!J22-'Segments 2024'!I22</f>
        <v>35.46</v>
      </c>
      <c r="F22" s="18" t="n">
        <f aca="false">'Segments 2024'!N22-'Segments 2024'!M22</f>
        <v>10.39</v>
      </c>
      <c r="G22" s="18" t="n">
        <f aca="false">'Segments 2024'!F22-'Segments 2024'!E22</f>
        <v>-10.5</v>
      </c>
      <c r="H22" s="18" t="n">
        <f aca="false">'Segments 2024'!G22-'Segments 2024'!H22</f>
        <v>10.95</v>
      </c>
      <c r="I22" s="18" t="n">
        <f aca="false">'Segments 2024'!P22-'Segments 2024'!O22</f>
        <v>22.97</v>
      </c>
    </row>
    <row r="23" customFormat="false" ht="15" hidden="false" customHeight="false" outlineLevel="0" collapsed="false">
      <c r="A23" s="22" t="s">
        <v>580</v>
      </c>
      <c r="B23" s="22" t="s">
        <v>562</v>
      </c>
      <c r="C23" s="13" t="n">
        <f aca="false">'Segments 2024'!D23</f>
        <v>12.05</v>
      </c>
      <c r="D23" s="13" t="n">
        <f aca="false">'Segments 2024'!L23-'Segments 2024'!K23</f>
        <v>2.76</v>
      </c>
      <c r="E23" s="13" t="n">
        <f aca="false">'Segments 2024'!J23-'Segments 2024'!I23</f>
        <v>6.78</v>
      </c>
      <c r="F23" s="13" t="n">
        <f aca="false">'Segments 2024'!N23-'Segments 2024'!M23</f>
        <v>1.91</v>
      </c>
      <c r="G23" s="13" t="n">
        <f aca="false">'Segments 2024'!F23-'Segments 2024'!E23</f>
        <v>0.57</v>
      </c>
      <c r="H23" s="13" t="n">
        <f aca="false">'Segments 2024'!G23-'Segments 2024'!H23</f>
        <v>8.18</v>
      </c>
      <c r="I23" s="13" t="n">
        <f aca="false">'Segments 2024'!P23-'Segments 2024'!O23</f>
        <v>5.15</v>
      </c>
    </row>
    <row r="24" customFormat="false" ht="15" hidden="false" customHeight="false" outlineLevel="0" collapsed="false">
      <c r="A24" s="23" t="s">
        <v>582</v>
      </c>
      <c r="B24" s="23" t="s">
        <v>562</v>
      </c>
      <c r="C24" s="18" t="n">
        <f aca="false">'Segments 2024'!D24</f>
        <v>58.06</v>
      </c>
      <c r="D24" s="18" t="n">
        <f aca="false">'Segments 2024'!L24-'Segments 2024'!K24</f>
        <v>8.08</v>
      </c>
      <c r="E24" s="18" t="n">
        <f aca="false">'Segments 2024'!J24-'Segments 2024'!I24</f>
        <v>7.28</v>
      </c>
      <c r="F24" s="18" t="n">
        <f aca="false">'Segments 2024'!N24-'Segments 2024'!M24</f>
        <v>1.93</v>
      </c>
      <c r="G24" s="18" t="n">
        <f aca="false">'Segments 2024'!F24-'Segments 2024'!E24</f>
        <v>-22.43</v>
      </c>
      <c r="H24" s="18" t="n">
        <f aca="false">'Segments 2024'!G24-'Segments 2024'!H24</f>
        <v>-43.96</v>
      </c>
      <c r="I24" s="18" t="n">
        <f aca="false">'Segments 2024'!P24-'Segments 2024'!O24</f>
        <v>29.32</v>
      </c>
    </row>
    <row r="25" customFormat="false" ht="15" hidden="false" customHeight="false" outlineLevel="0" collapsed="false">
      <c r="A25" s="22" t="s">
        <v>584</v>
      </c>
      <c r="B25" s="22" t="s">
        <v>562</v>
      </c>
      <c r="C25" s="13" t="n">
        <f aca="false">'Segments 2024'!D25</f>
        <v>32.7</v>
      </c>
      <c r="D25" s="13" t="n">
        <f aca="false">'Segments 2024'!L25-'Segments 2024'!K25</f>
        <v>27.75</v>
      </c>
      <c r="E25" s="13" t="n">
        <f aca="false">'Segments 2024'!J25-'Segments 2024'!I25</f>
        <v>28.46</v>
      </c>
      <c r="F25" s="13" t="n">
        <f aca="false">'Segments 2024'!N25-'Segments 2024'!M25</f>
        <v>7.8</v>
      </c>
      <c r="G25" s="13" t="n">
        <f aca="false">'Segments 2024'!F25-'Segments 2024'!E25</f>
        <v>-13.37</v>
      </c>
      <c r="H25" s="13" t="n">
        <f aca="false">'Segments 2024'!G25-'Segments 2024'!H25</f>
        <v>-20.57</v>
      </c>
      <c r="I25" s="13" t="n">
        <f aca="false">'Segments 2024'!P25-'Segments 2024'!O25</f>
        <v>27.86</v>
      </c>
    </row>
    <row r="26" customFormat="false" ht="15" hidden="false" customHeight="false" outlineLevel="0" collapsed="false">
      <c r="A26" s="23" t="s">
        <v>586</v>
      </c>
      <c r="B26" s="23" t="s">
        <v>562</v>
      </c>
      <c r="C26" s="18" t="n">
        <f aca="false">'Segments 2024'!D26</f>
        <v>25.06</v>
      </c>
      <c r="D26" s="18" t="n">
        <f aca="false">'Segments 2024'!L26-'Segments 2024'!K26</f>
        <v>-20.05</v>
      </c>
      <c r="E26" s="18" t="n">
        <f aca="false">'Segments 2024'!J26-'Segments 2024'!I26</f>
        <v>-19.6</v>
      </c>
      <c r="F26" s="18" t="n">
        <f aca="false">'Segments 2024'!N26-'Segments 2024'!M26</f>
        <v>-6.41</v>
      </c>
      <c r="G26" s="18" t="n">
        <f aca="false">'Segments 2024'!F26-'Segments 2024'!E26</f>
        <v>-9.17</v>
      </c>
      <c r="H26" s="18" t="n">
        <f aca="false">'Segments 2024'!G26-'Segments 2024'!H26</f>
        <v>-23.2</v>
      </c>
      <c r="I26" s="18" t="n">
        <f aca="false">'Segments 2024'!P26-'Segments 2024'!O26</f>
        <v>1.44</v>
      </c>
    </row>
    <row r="27" customFormat="false" ht="15" hidden="false" customHeight="false" outlineLevel="0" collapsed="false">
      <c r="A27" s="22" t="s">
        <v>508</v>
      </c>
      <c r="B27" s="22" t="s">
        <v>562</v>
      </c>
      <c r="C27" s="13" t="n">
        <f aca="false">'Segments 2024'!D27</f>
        <v>61.57</v>
      </c>
      <c r="D27" s="13" t="n">
        <f aca="false">'Segments 2024'!L27-'Segments 2024'!K27</f>
        <v>42.46</v>
      </c>
      <c r="E27" s="13" t="n">
        <f aca="false">'Segments 2024'!J27-'Segments 2024'!I27</f>
        <v>48.44</v>
      </c>
      <c r="F27" s="13" t="n">
        <f aca="false">'Segments 2024'!N27-'Segments 2024'!M27</f>
        <v>11.36</v>
      </c>
      <c r="G27" s="13" t="n">
        <f aca="false">'Segments 2024'!F27-'Segments 2024'!E27</f>
        <v>2.32</v>
      </c>
      <c r="H27" s="13" t="n">
        <f aca="false">'Segments 2024'!G27-'Segments 2024'!H27</f>
        <v>6.08</v>
      </c>
      <c r="I27" s="13" t="n">
        <f aca="false">'Segments 2024'!P27-'Segments 2024'!O27</f>
        <v>42.64</v>
      </c>
    </row>
    <row r="28" customFormat="false" ht="15" hidden="false" customHeight="false" outlineLevel="0" collapsed="false">
      <c r="A28" s="23" t="s">
        <v>588</v>
      </c>
      <c r="B28" s="23" t="s">
        <v>589</v>
      </c>
      <c r="C28" s="18" t="n">
        <f aca="false">'Segments 2024'!D28</f>
        <v>68.57</v>
      </c>
      <c r="D28" s="18" t="n">
        <f aca="false">'Segments 2024'!L28-'Segments 2024'!K28</f>
        <v>18.5</v>
      </c>
      <c r="E28" s="18" t="n">
        <f aca="false">'Segments 2024'!J28-'Segments 2024'!I28</f>
        <v>24.37</v>
      </c>
      <c r="F28" s="18" t="n">
        <f aca="false">'Segments 2024'!N28-'Segments 2024'!M28</f>
        <v>3.27000000000001</v>
      </c>
      <c r="G28" s="18" t="n">
        <f aca="false">'Segments 2024'!F28-'Segments 2024'!E28</f>
        <v>-4.36</v>
      </c>
      <c r="H28" s="18" t="n">
        <f aca="false">'Segments 2024'!G28-'Segments 2024'!H28</f>
        <v>-15.24</v>
      </c>
      <c r="I28" s="18" t="n">
        <f aca="false">'Segments 2024'!P28-'Segments 2024'!O28</f>
        <v>25.81</v>
      </c>
    </row>
    <row r="29" customFormat="false" ht="15" hidden="false" customHeight="false" outlineLevel="0" collapsed="false">
      <c r="A29" s="22" t="s">
        <v>487</v>
      </c>
      <c r="B29" s="22" t="s">
        <v>589</v>
      </c>
      <c r="C29" s="13" t="n">
        <f aca="false">'Segments 2024'!D29</f>
        <v>43.09</v>
      </c>
      <c r="D29" s="13" t="n">
        <f aca="false">'Segments 2024'!L29-'Segments 2024'!K29</f>
        <v>26.71</v>
      </c>
      <c r="E29" s="13" t="n">
        <f aca="false">'Segments 2024'!J29-'Segments 2024'!I29</f>
        <v>32.74</v>
      </c>
      <c r="F29" s="13" t="n">
        <f aca="false">'Segments 2024'!N29-'Segments 2024'!M29</f>
        <v>7.94</v>
      </c>
      <c r="G29" s="13" t="n">
        <f aca="false">'Segments 2024'!F29-'Segments 2024'!E29</f>
        <v>-4.06</v>
      </c>
      <c r="H29" s="13" t="n">
        <f aca="false">'Segments 2024'!G29-'Segments 2024'!H29</f>
        <v>-5.51000000000001</v>
      </c>
      <c r="I29" s="13" t="n">
        <f aca="false">'Segments 2024'!P29-'Segments 2024'!O29</f>
        <v>26.44</v>
      </c>
    </row>
    <row r="30" customFormat="false" ht="15" hidden="false" customHeight="false" outlineLevel="0" collapsed="false">
      <c r="A30" s="23" t="s">
        <v>591</v>
      </c>
      <c r="B30" s="23" t="s">
        <v>589</v>
      </c>
      <c r="C30" s="18" t="n">
        <f aca="false">'Segments 2024'!D30</f>
        <v>10.06</v>
      </c>
      <c r="D30" s="18" t="n">
        <f aca="false">'Segments 2024'!L30-'Segments 2024'!K30</f>
        <v>5.26</v>
      </c>
      <c r="E30" s="18" t="n">
        <f aca="false">'Segments 2024'!J30-'Segments 2024'!I30</f>
        <v>9.69</v>
      </c>
      <c r="F30" s="18" t="n">
        <f aca="false">'Segments 2024'!N30-'Segments 2024'!M30</f>
        <v>3.3</v>
      </c>
      <c r="G30" s="18" t="n">
        <f aca="false">'Segments 2024'!F30-'Segments 2024'!E30</f>
        <v>1.44</v>
      </c>
      <c r="H30" s="18" t="n">
        <f aca="false">'Segments 2024'!G30-'Segments 2024'!H30</f>
        <v>6.73</v>
      </c>
      <c r="I30" s="18" t="n">
        <f aca="false">'Segments 2024'!P30-'Segments 2024'!O30</f>
        <v>3.84</v>
      </c>
    </row>
    <row r="31" customFormat="false" ht="15" hidden="false" customHeight="false" outlineLevel="0" collapsed="false">
      <c r="A31" s="22" t="s">
        <v>495</v>
      </c>
      <c r="B31" s="22" t="s">
        <v>589</v>
      </c>
      <c r="C31" s="13" t="n">
        <f aca="false">'Segments 2024'!D31</f>
        <v>20.16</v>
      </c>
      <c r="D31" s="13" t="n">
        <f aca="false">'Segments 2024'!L31-'Segments 2024'!K31</f>
        <v>15.89</v>
      </c>
      <c r="E31" s="13" t="n">
        <f aca="false">'Segments 2024'!J31-'Segments 2024'!I31</f>
        <v>13.84</v>
      </c>
      <c r="F31" s="13" t="n">
        <f aca="false">'Segments 2024'!N31-'Segments 2024'!M31</f>
        <v>6.56</v>
      </c>
      <c r="G31" s="13" t="n">
        <f aca="false">'Segments 2024'!F31-'Segments 2024'!E31</f>
        <v>-6.56</v>
      </c>
      <c r="H31" s="13" t="n">
        <f aca="false">'Segments 2024'!G31-'Segments 2024'!H31</f>
        <v>-14.57</v>
      </c>
      <c r="I31" s="13" t="n">
        <f aca="false">'Segments 2024'!P31-'Segments 2024'!O31</f>
        <v>15.23</v>
      </c>
    </row>
    <row r="32" customFormat="false" ht="15" hidden="false" customHeight="false" outlineLevel="0" collapsed="false">
      <c r="A32" s="23" t="s">
        <v>489</v>
      </c>
      <c r="B32" s="23" t="s">
        <v>589</v>
      </c>
      <c r="C32" s="18" t="n">
        <f aca="false">'Segments 2024'!D32</f>
        <v>19.64</v>
      </c>
      <c r="D32" s="18" t="n">
        <f aca="false">'Segments 2024'!L32-'Segments 2024'!K32</f>
        <v>16.8</v>
      </c>
      <c r="E32" s="18" t="n">
        <f aca="false">'Segments 2024'!J32-'Segments 2024'!I32</f>
        <v>17.37</v>
      </c>
      <c r="F32" s="18" t="n">
        <f aca="false">'Segments 2024'!N32-'Segments 2024'!M32</f>
        <v>8.59</v>
      </c>
      <c r="G32" s="18" t="n">
        <f aca="false">'Segments 2024'!F32-'Segments 2024'!E32</f>
        <v>-5.75</v>
      </c>
      <c r="H32" s="18" t="n">
        <f aca="false">'Segments 2024'!G32-'Segments 2024'!H32</f>
        <v>0.209999999999997</v>
      </c>
      <c r="I32" s="18" t="n">
        <f aca="false">'Segments 2024'!P32-'Segments 2024'!O32</f>
        <v>16.76</v>
      </c>
    </row>
    <row r="33" customFormat="false" ht="15" hidden="false" customHeight="false" outlineLevel="0" collapsed="false">
      <c r="A33" s="22" t="s">
        <v>491</v>
      </c>
      <c r="B33" s="22" t="s">
        <v>589</v>
      </c>
      <c r="C33" s="13" t="n">
        <f aca="false">'Segments 2024'!D33</f>
        <v>58.38</v>
      </c>
      <c r="D33" s="13" t="n">
        <f aca="false">'Segments 2024'!L33-'Segments 2024'!K33</f>
        <v>41.81</v>
      </c>
      <c r="E33" s="13" t="n">
        <f aca="false">'Segments 2024'!J33-'Segments 2024'!I33</f>
        <v>42.07</v>
      </c>
      <c r="F33" s="13" t="n">
        <f aca="false">'Segments 2024'!N33-'Segments 2024'!M33</f>
        <v>15.9</v>
      </c>
      <c r="G33" s="13" t="n">
        <f aca="false">'Segments 2024'!F33-'Segments 2024'!E33</f>
        <v>2.11</v>
      </c>
      <c r="H33" s="13" t="n">
        <f aca="false">'Segments 2024'!G33-'Segments 2024'!H33</f>
        <v>0.159999999999997</v>
      </c>
      <c r="I33" s="13" t="n">
        <f aca="false">'Segments 2024'!P33-'Segments 2024'!O33</f>
        <v>40.41</v>
      </c>
    </row>
    <row r="34" customFormat="false" ht="15" hidden="false" customHeight="false" outlineLevel="0" collapsed="false">
      <c r="A34" s="23" t="s">
        <v>493</v>
      </c>
      <c r="B34" s="23" t="s">
        <v>589</v>
      </c>
      <c r="C34" s="18" t="n">
        <f aca="false">'Segments 2024'!D34</f>
        <v>29.98</v>
      </c>
      <c r="D34" s="18" t="n">
        <f aca="false">'Segments 2024'!L34-'Segments 2024'!K34</f>
        <v>20.94</v>
      </c>
      <c r="E34" s="18" t="n">
        <f aca="false">'Segments 2024'!J34-'Segments 2024'!I34</f>
        <v>24.87</v>
      </c>
      <c r="F34" s="18" t="n">
        <f aca="false">'Segments 2024'!N34-'Segments 2024'!M34</f>
        <v>10.33</v>
      </c>
      <c r="G34" s="18" t="n">
        <f aca="false">'Segments 2024'!F34-'Segments 2024'!E34</f>
        <v>-3.22</v>
      </c>
      <c r="H34" s="18" t="n">
        <f aca="false">'Segments 2024'!G34-'Segments 2024'!H34</f>
        <v>-11.75</v>
      </c>
      <c r="I34" s="18" t="n">
        <f aca="false">'Segments 2024'!P34-'Segments 2024'!O34</f>
        <v>22.77</v>
      </c>
    </row>
    <row r="35" customFormat="false" ht="15" hidden="false" customHeight="false" outlineLevel="0" collapsed="false">
      <c r="A35" s="22" t="s">
        <v>593</v>
      </c>
      <c r="B35" s="22" t="s">
        <v>594</v>
      </c>
      <c r="C35" s="13" t="n">
        <f aca="false">'Segments 2024'!D35</f>
        <v>43.2</v>
      </c>
      <c r="D35" s="13" t="n">
        <f aca="false">'Segments 2024'!L35-'Segments 2024'!K35</f>
        <v>6.04</v>
      </c>
      <c r="E35" s="13" t="n">
        <f aca="false">'Segments 2024'!J35-'Segments 2024'!I35</f>
        <v>5.03</v>
      </c>
      <c r="F35" s="13" t="n">
        <f aca="false">'Segments 2024'!N35-'Segments 2024'!M35</f>
        <v>0.210000000000001</v>
      </c>
      <c r="G35" s="13" t="n">
        <f aca="false">'Segments 2024'!F35-'Segments 2024'!E35</f>
        <v>0.359999999999999</v>
      </c>
      <c r="H35" s="13" t="n">
        <f aca="false">'Segments 2024'!G35-'Segments 2024'!H35</f>
        <v>-3.39</v>
      </c>
      <c r="I35" s="13" t="n">
        <f aca="false">'Segments 2024'!P35-'Segments 2024'!O35</f>
        <v>11.13</v>
      </c>
    </row>
    <row r="36" customFormat="false" ht="15" hidden="false" customHeight="false" outlineLevel="0" collapsed="false">
      <c r="A36" s="23" t="s">
        <v>596</v>
      </c>
      <c r="B36" s="23" t="s">
        <v>594</v>
      </c>
      <c r="C36" s="18" t="n">
        <f aca="false">'Segments 2024'!D36</f>
        <v>33.59</v>
      </c>
      <c r="D36" s="18" t="n">
        <f aca="false">'Segments 2024'!L36-'Segments 2024'!K36</f>
        <v>0.68</v>
      </c>
      <c r="E36" s="18" t="n">
        <f aca="false">'Segments 2024'!J36-'Segments 2024'!I36</f>
        <v>2.48</v>
      </c>
      <c r="F36" s="18" t="n">
        <f aca="false">'Segments 2024'!N36-'Segments 2024'!M36</f>
        <v>1.05</v>
      </c>
      <c r="G36" s="18" t="n">
        <f aca="false">'Segments 2024'!F36-'Segments 2024'!E36</f>
        <v>-2.5</v>
      </c>
      <c r="H36" s="18" t="n">
        <f aca="false">'Segments 2024'!G36-'Segments 2024'!H36</f>
        <v>1.98</v>
      </c>
      <c r="I36" s="18" t="n">
        <f aca="false">'Segments 2024'!P36-'Segments 2024'!O36</f>
        <v>10.79</v>
      </c>
    </row>
    <row r="37" customFormat="false" ht="15" hidden="false" customHeight="false" outlineLevel="0" collapsed="false">
      <c r="A37" s="22" t="s">
        <v>598</v>
      </c>
      <c r="B37" s="22" t="s">
        <v>599</v>
      </c>
      <c r="C37" s="13" t="n">
        <f aca="false">'Segments 2024'!D37</f>
        <v>17.06</v>
      </c>
      <c r="D37" s="13" t="n">
        <f aca="false">'Segments 2024'!L37-'Segments 2024'!K37</f>
        <v>-2.63</v>
      </c>
      <c r="E37" s="13" t="n">
        <f aca="false">'Segments 2024'!J37-'Segments 2024'!I37</f>
        <v>-1.66</v>
      </c>
      <c r="F37" s="13" t="n">
        <f aca="false">'Segments 2024'!N37-'Segments 2024'!M37</f>
        <v>-3.33</v>
      </c>
      <c r="G37" s="13" t="n">
        <f aca="false">'Segments 2024'!F37-'Segments 2024'!E37</f>
        <v>-6.33</v>
      </c>
      <c r="H37" s="13" t="n">
        <f aca="false">'Segments 2024'!G37-'Segments 2024'!H37</f>
        <v>-14.93</v>
      </c>
      <c r="I37" s="13" t="n">
        <f aca="false">'Segments 2024'!P37-'Segments 2024'!O37</f>
        <v>7.62</v>
      </c>
    </row>
    <row r="38" customFormat="false" ht="15" hidden="false" customHeight="false" outlineLevel="0" collapsed="false">
      <c r="A38" s="23" t="s">
        <v>601</v>
      </c>
      <c r="B38" s="23" t="s">
        <v>602</v>
      </c>
      <c r="C38" s="18" t="n">
        <f aca="false">'Segments 2024'!D38</f>
        <v>45.62</v>
      </c>
      <c r="D38" s="18" t="n">
        <f aca="false">'Segments 2024'!L38-'Segments 2024'!K38</f>
        <v>24.45</v>
      </c>
      <c r="E38" s="18" t="n">
        <f aca="false">'Segments 2024'!J38-'Segments 2024'!I38</f>
        <v>16.92</v>
      </c>
      <c r="F38" s="18" t="n">
        <f aca="false">'Segments 2024'!N38-'Segments 2024'!M38</f>
        <v>8.98</v>
      </c>
      <c r="G38" s="18" t="n">
        <f aca="false">'Segments 2024'!F38-'Segments 2024'!E38</f>
        <v>9.16</v>
      </c>
      <c r="H38" s="18" t="n">
        <f aca="false">'Segments 2024'!G38-'Segments 2024'!H38</f>
        <v>-3.17</v>
      </c>
      <c r="I38" s="18" t="n">
        <f aca="false">'Segments 2024'!P38-'Segments 2024'!O38</f>
        <v>49.15</v>
      </c>
    </row>
    <row r="39" customFormat="false" ht="15" hidden="false" customHeight="false" outlineLevel="0" collapsed="false">
      <c r="A39" s="22" t="s">
        <v>510</v>
      </c>
      <c r="B39" s="22" t="s">
        <v>602</v>
      </c>
      <c r="C39" s="13" t="n">
        <f aca="false">'Segments 2024'!D39</f>
        <v>36.99</v>
      </c>
      <c r="D39" s="13" t="n">
        <f aca="false">'Segments 2024'!L39-'Segments 2024'!K39</f>
        <v>31.4</v>
      </c>
      <c r="E39" s="13" t="n">
        <f aca="false">'Segments 2024'!J39-'Segments 2024'!I39</f>
        <v>30.05</v>
      </c>
      <c r="F39" s="13" t="n">
        <f aca="false">'Segments 2024'!N39-'Segments 2024'!M39</f>
        <v>10.55</v>
      </c>
      <c r="G39" s="13" t="n">
        <f aca="false">'Segments 2024'!F39-'Segments 2024'!E39</f>
        <v>4.53</v>
      </c>
      <c r="H39" s="13" t="n">
        <f aca="false">'Segments 2024'!G39-'Segments 2024'!H39</f>
        <v>-0.0799999999999983</v>
      </c>
      <c r="I39" s="13" t="n">
        <f aca="false">'Segments 2024'!P39-'Segments 2024'!O39</f>
        <v>40.78</v>
      </c>
    </row>
    <row r="40" customFormat="false" ht="15" hidden="false" customHeight="false" outlineLevel="0" collapsed="false">
      <c r="A40" s="23" t="s">
        <v>604</v>
      </c>
      <c r="B40" s="23" t="s">
        <v>602</v>
      </c>
      <c r="C40" s="18" t="n">
        <f aca="false">'Segments 2024'!D40</f>
        <v>19.66</v>
      </c>
      <c r="D40" s="18" t="n">
        <f aca="false">'Segments 2024'!L40-'Segments 2024'!K40</f>
        <v>20.39</v>
      </c>
      <c r="E40" s="18" t="n">
        <f aca="false">'Segments 2024'!J40-'Segments 2024'!I40</f>
        <v>15.04</v>
      </c>
      <c r="F40" s="18" t="n">
        <f aca="false">'Segments 2024'!N40-'Segments 2024'!M40</f>
        <v>12.61</v>
      </c>
      <c r="G40" s="18" t="n">
        <f aca="false">'Segments 2024'!F40-'Segments 2024'!E40</f>
        <v>1.73</v>
      </c>
      <c r="H40" s="18" t="n">
        <f aca="false">'Segments 2024'!G40-'Segments 2024'!H40</f>
        <v>2.68</v>
      </c>
      <c r="I40" s="18" t="n">
        <f aca="false">'Segments 2024'!P40-'Segments 2024'!O40</f>
        <v>19.58</v>
      </c>
    </row>
    <row r="41" customFormat="false" ht="15" hidden="false" customHeight="false" outlineLevel="0" collapsed="false">
      <c r="A41" s="22" t="s">
        <v>606</v>
      </c>
      <c r="B41" s="22" t="s">
        <v>602</v>
      </c>
      <c r="C41" s="13" t="n">
        <f aca="false">'Segments 2024'!D41</f>
        <v>23.75</v>
      </c>
      <c r="D41" s="13" t="n">
        <f aca="false">'Segments 2024'!L41-'Segments 2024'!K41</f>
        <v>-22.46</v>
      </c>
      <c r="E41" s="13" t="n">
        <f aca="false">'Segments 2024'!J41-'Segments 2024'!I41</f>
        <v>-2.78</v>
      </c>
      <c r="F41" s="13" t="n">
        <f aca="false">'Segments 2024'!N41-'Segments 2024'!M41</f>
        <v>-21.21</v>
      </c>
      <c r="G41" s="13" t="n">
        <f aca="false">'Segments 2024'!F41-'Segments 2024'!E41</f>
        <v>2.83</v>
      </c>
      <c r="H41" s="13" t="n">
        <f aca="false">'Segments 2024'!G41-'Segments 2024'!H41</f>
        <v>-17.42</v>
      </c>
      <c r="I41" s="13" t="n">
        <f aca="false">'Segments 2024'!P41-'Segments 2024'!O41</f>
        <v>7.15</v>
      </c>
    </row>
    <row r="42" customFormat="false" ht="15" hidden="false" customHeight="false" outlineLevel="0" collapsed="false">
      <c r="A42" s="23" t="s">
        <v>608</v>
      </c>
      <c r="B42" s="23" t="s">
        <v>602</v>
      </c>
      <c r="C42" s="18" t="n">
        <f aca="false">'Segments 2024'!D42</f>
        <v>17.48</v>
      </c>
      <c r="D42" s="18" t="n">
        <f aca="false">'Segments 2024'!L42-'Segments 2024'!K42</f>
        <v>-23.39</v>
      </c>
      <c r="E42" s="18" t="n">
        <f aca="false">'Segments 2024'!J42-'Segments 2024'!I42</f>
        <v>-6.78</v>
      </c>
      <c r="F42" s="18" t="n">
        <f aca="false">'Segments 2024'!N42-'Segments 2024'!M42</f>
        <v>-15.85</v>
      </c>
      <c r="G42" s="18" t="n">
        <f aca="false">'Segments 2024'!F42-'Segments 2024'!E42</f>
        <v>2.04</v>
      </c>
      <c r="H42" s="18" t="n">
        <f aca="false">'Segments 2024'!G42-'Segments 2024'!H42</f>
        <v>-13.78</v>
      </c>
      <c r="I42" s="18" t="n">
        <f aca="false">'Segments 2024'!P42-'Segments 2024'!O42</f>
        <v>3.2</v>
      </c>
    </row>
    <row r="43" customFormat="false" ht="15" hidden="false" customHeight="false" outlineLevel="0" collapsed="false">
      <c r="A43" s="22" t="s">
        <v>610</v>
      </c>
      <c r="B43" s="22" t="s">
        <v>602</v>
      </c>
      <c r="C43" s="13" t="n">
        <f aca="false">'Segments 2024'!D43</f>
        <v>29.36</v>
      </c>
      <c r="D43" s="13" t="n">
        <f aca="false">'Segments 2024'!L43-'Segments 2024'!K43</f>
        <v>2.5</v>
      </c>
      <c r="E43" s="13" t="n">
        <f aca="false">'Segments 2024'!J43-'Segments 2024'!I43</f>
        <v>-0.259999999999998</v>
      </c>
      <c r="F43" s="13" t="n">
        <f aca="false">'Segments 2024'!N43-'Segments 2024'!M43</f>
        <v>3.72</v>
      </c>
      <c r="G43" s="13" t="n">
        <f aca="false">'Segments 2024'!F43-'Segments 2024'!E43</f>
        <v>-3.11</v>
      </c>
      <c r="H43" s="13" t="n">
        <f aca="false">'Segments 2024'!G43-'Segments 2024'!H43</f>
        <v>-2.01</v>
      </c>
      <c r="I43" s="13" t="n">
        <f aca="false">'Segments 2024'!P43-'Segments 2024'!O43</f>
        <v>-2.34</v>
      </c>
    </row>
    <row r="44" customFormat="false" ht="15" hidden="false" customHeight="false" outlineLevel="0" collapsed="false">
      <c r="A44" s="23" t="s">
        <v>612</v>
      </c>
      <c r="B44" s="23" t="s">
        <v>613</v>
      </c>
      <c r="C44" s="18" t="n">
        <f aca="false">'Segments 2024'!D44</f>
        <v>16.63</v>
      </c>
      <c r="D44" s="18" t="n">
        <f aca="false">'Segments 2024'!L44-'Segments 2024'!K44</f>
        <v>-17.2</v>
      </c>
      <c r="E44" s="18" t="n">
        <f aca="false">'Segments 2024'!J44-'Segments 2024'!I44</f>
        <v>-20.01</v>
      </c>
      <c r="F44" s="18" t="n">
        <f aca="false">'Segments 2024'!N44-'Segments 2024'!M44</f>
        <v>-5.79</v>
      </c>
      <c r="G44" s="18" t="n">
        <f aca="false">'Segments 2024'!F44-'Segments 2024'!E44</f>
        <v>-2.19</v>
      </c>
      <c r="H44" s="18" t="n">
        <f aca="false">'Segments 2024'!G44-'Segments 2024'!H44</f>
        <v>14.23</v>
      </c>
      <c r="I44" s="18" t="n">
        <f aca="false">'Segments 2024'!P44-'Segments 2024'!O44</f>
        <v>-20.09</v>
      </c>
    </row>
    <row r="45" customFormat="false" ht="15" hidden="false" customHeight="false" outlineLevel="0" collapsed="false">
      <c r="A45" s="22" t="s">
        <v>497</v>
      </c>
      <c r="B45" s="22" t="s">
        <v>613</v>
      </c>
      <c r="C45" s="13" t="n">
        <f aca="false">'Segments 2024'!D45</f>
        <v>49.79</v>
      </c>
      <c r="D45" s="13" t="n">
        <f aca="false">'Segments 2024'!L45-'Segments 2024'!K45</f>
        <v>14.88</v>
      </c>
      <c r="E45" s="13" t="n">
        <f aca="false">'Segments 2024'!J45-'Segments 2024'!I45</f>
        <v>12.31</v>
      </c>
      <c r="F45" s="13" t="n">
        <f aca="false">'Segments 2024'!N45-'Segments 2024'!M45</f>
        <v>6.05</v>
      </c>
      <c r="G45" s="13" t="n">
        <f aca="false">'Segments 2024'!F45-'Segments 2024'!E45</f>
        <v>-4.25</v>
      </c>
      <c r="H45" s="13" t="n">
        <f aca="false">'Segments 2024'!G45-'Segments 2024'!H45</f>
        <v>-10.57</v>
      </c>
      <c r="I45" s="13" t="n">
        <f aca="false">'Segments 2024'!P45-'Segments 2024'!O45</f>
        <v>16.42</v>
      </c>
    </row>
    <row r="46" customFormat="false" ht="15" hidden="false" customHeight="false" outlineLevel="0" collapsed="false">
      <c r="A46" s="23" t="s">
        <v>615</v>
      </c>
      <c r="B46" s="23" t="s">
        <v>613</v>
      </c>
      <c r="C46" s="18" t="n">
        <f aca="false">'Segments 2024'!D46</f>
        <v>48.85</v>
      </c>
      <c r="D46" s="18" t="n">
        <f aca="false">'Segments 2024'!L46-'Segments 2024'!K46</f>
        <v>15.47</v>
      </c>
      <c r="E46" s="18" t="n">
        <f aca="false">'Segments 2024'!J46-'Segments 2024'!I46</f>
        <v>23.39</v>
      </c>
      <c r="F46" s="18" t="n">
        <f aca="false">'Segments 2024'!N46-'Segments 2024'!M46</f>
        <v>-2.12</v>
      </c>
      <c r="G46" s="18" t="n">
        <f aca="false">'Segments 2024'!F46-'Segments 2024'!E46</f>
        <v>4.6</v>
      </c>
      <c r="H46" s="18" t="n">
        <f aca="false">'Segments 2024'!G46-'Segments 2024'!H46</f>
        <v>-4.58</v>
      </c>
      <c r="I46" s="18" t="n">
        <f aca="false">'Segments 2024'!P46-'Segments 2024'!O46</f>
        <v>13.73</v>
      </c>
    </row>
    <row r="47" customFormat="false" ht="15" hidden="false" customHeight="false" outlineLevel="0" collapsed="false">
      <c r="A47" s="22" t="s">
        <v>617</v>
      </c>
      <c r="B47" s="22" t="s">
        <v>613</v>
      </c>
      <c r="C47" s="13" t="n">
        <f aca="false">'Segments 2024'!D47</f>
        <v>19.83</v>
      </c>
      <c r="D47" s="13" t="n">
        <f aca="false">'Segments 2024'!L47-'Segments 2024'!K47</f>
        <v>-12.29</v>
      </c>
      <c r="E47" s="13" t="n">
        <f aca="false">'Segments 2024'!J47-'Segments 2024'!I47</f>
        <v>-17.75</v>
      </c>
      <c r="F47" s="13" t="n">
        <f aca="false">'Segments 2024'!N47-'Segments 2024'!M47</f>
        <v>-1.47</v>
      </c>
      <c r="G47" s="13" t="n">
        <f aca="false">'Segments 2024'!F47-'Segments 2024'!E47</f>
        <v>0.0300000000000011</v>
      </c>
      <c r="H47" s="13" t="n">
        <f aca="false">'Segments 2024'!G47-'Segments 2024'!H47</f>
        <v>3.37</v>
      </c>
      <c r="I47" s="13" t="n">
        <f aca="false">'Segments 2024'!P47-'Segments 2024'!O47</f>
        <v>-6.09</v>
      </c>
    </row>
    <row r="48" customFormat="false" ht="15" hidden="false" customHeight="false" outlineLevel="0" collapsed="false">
      <c r="A48" s="23" t="s">
        <v>619</v>
      </c>
      <c r="B48" s="23" t="s">
        <v>613</v>
      </c>
      <c r="C48" s="18" t="n">
        <f aca="false">'Segments 2024'!D48</f>
        <v>16.68</v>
      </c>
      <c r="D48" s="18" t="n">
        <f aca="false">'Segments 2024'!L48-'Segments 2024'!K48</f>
        <v>-5.82</v>
      </c>
      <c r="E48" s="18" t="n">
        <f aca="false">'Segments 2024'!J48-'Segments 2024'!I48</f>
        <v>-8.77</v>
      </c>
      <c r="F48" s="18" t="n">
        <f aca="false">'Segments 2024'!N48-'Segments 2024'!M48</f>
        <v>3.6</v>
      </c>
      <c r="G48" s="18" t="n">
        <f aca="false">'Segments 2024'!F48-'Segments 2024'!E48</f>
        <v>-5.17</v>
      </c>
      <c r="H48" s="18" t="n">
        <f aca="false">'Segments 2024'!G48-'Segments 2024'!H48</f>
        <v>-17.51</v>
      </c>
      <c r="I48" s="18" t="n">
        <f aca="false">'Segments 2024'!P48-'Segments 2024'!O48</f>
        <v>2.63</v>
      </c>
    </row>
    <row r="49" customFormat="false" ht="15" hidden="false" customHeight="false" outlineLevel="0" collapsed="false">
      <c r="A49" s="22" t="s">
        <v>621</v>
      </c>
      <c r="B49" s="22" t="s">
        <v>622</v>
      </c>
      <c r="C49" s="13" t="n">
        <f aca="false">'Segments 2024'!D49</f>
        <v>87.88</v>
      </c>
      <c r="D49" s="13" t="n">
        <f aca="false">'Segments 2024'!L49-'Segments 2024'!K49</f>
        <v>21.83</v>
      </c>
      <c r="E49" s="13" t="n">
        <f aca="false">'Segments 2024'!J49-'Segments 2024'!I49</f>
        <v>27.14</v>
      </c>
      <c r="F49" s="13" t="n">
        <f aca="false">'Segments 2024'!N49-'Segments 2024'!M49</f>
        <v>3.54000000000001</v>
      </c>
      <c r="G49" s="13" t="n">
        <f aca="false">'Segments 2024'!F49-'Segments 2024'!E49</f>
        <v>1.45</v>
      </c>
      <c r="H49" s="13" t="n">
        <f aca="false">'Segments 2024'!G49-'Segments 2024'!H49</f>
        <v>14.64</v>
      </c>
      <c r="I49" s="13" t="n">
        <f aca="false">'Segments 2024'!P49-'Segments 2024'!O49</f>
        <v>12.11</v>
      </c>
    </row>
    <row r="50" customFormat="false" ht="15" hidden="false" customHeight="false" outlineLevel="0" collapsed="false">
      <c r="A50" s="23" t="s">
        <v>624</v>
      </c>
      <c r="B50" s="23" t="s">
        <v>622</v>
      </c>
      <c r="C50" s="18" t="n">
        <f aca="false">'Segments 2024'!D50</f>
        <v>97.78</v>
      </c>
      <c r="D50" s="18" t="n">
        <f aca="false">'Segments 2024'!L50-'Segments 2024'!K50</f>
        <v>3.95999999999999</v>
      </c>
      <c r="E50" s="18" t="n">
        <f aca="false">'Segments 2024'!J50-'Segments 2024'!I50</f>
        <v>8.94</v>
      </c>
      <c r="F50" s="18" t="n">
        <f aca="false">'Segments 2024'!N50-'Segments 2024'!M50</f>
        <v>1.47999999999999</v>
      </c>
      <c r="G50" s="18" t="n">
        <f aca="false">'Segments 2024'!F50-'Segments 2024'!E50</f>
        <v>-1.16999999999999</v>
      </c>
      <c r="H50" s="18" t="n">
        <f aca="false">'Segments 2024'!G50-'Segments 2024'!H50</f>
        <v>-0.780000000000001</v>
      </c>
      <c r="I50" s="18" t="n">
        <f aca="false">'Segments 2024'!P50-'Segments 2024'!O50</f>
        <v>5.16</v>
      </c>
    </row>
    <row r="51" customFormat="false" ht="15" hidden="false" customHeight="false" outlineLevel="0" collapsed="false">
      <c r="A51" s="22" t="s">
        <v>504</v>
      </c>
      <c r="B51" s="22" t="s">
        <v>622</v>
      </c>
      <c r="C51" s="13" t="n">
        <f aca="false">'Segments 2024'!D51</f>
        <v>85.44</v>
      </c>
      <c r="D51" s="13" t="n">
        <f aca="false">'Segments 2024'!L51-'Segments 2024'!K51</f>
        <v>22.42</v>
      </c>
      <c r="E51" s="13" t="n">
        <f aca="false">'Segments 2024'!J51-'Segments 2024'!I51</f>
        <v>33.47</v>
      </c>
      <c r="F51" s="13" t="n">
        <f aca="false">'Segments 2024'!N51-'Segments 2024'!M51</f>
        <v>5.34999999999999</v>
      </c>
      <c r="G51" s="13" t="n">
        <f aca="false">'Segments 2024'!F51-'Segments 2024'!E51</f>
        <v>0.769999999999996</v>
      </c>
      <c r="H51" s="13" t="n">
        <f aca="false">'Segments 2024'!G51-'Segments 2024'!H51</f>
        <v>14.12</v>
      </c>
      <c r="I51" s="13" t="n">
        <f aca="false">'Segments 2024'!P51-'Segments 2024'!O51</f>
        <v>15.28</v>
      </c>
    </row>
    <row r="52" customFormat="false" ht="15" hidden="false" customHeight="false" outlineLevel="0" collapsed="false">
      <c r="A52" s="23" t="s">
        <v>502</v>
      </c>
      <c r="B52" s="23" t="s">
        <v>622</v>
      </c>
      <c r="C52" s="18" t="n">
        <f aca="false">'Segments 2024'!D52</f>
        <v>83.93</v>
      </c>
      <c r="D52" s="18" t="n">
        <f aca="false">'Segments 2024'!L52-'Segments 2024'!K52</f>
        <v>24.1</v>
      </c>
      <c r="E52" s="18" t="n">
        <f aca="false">'Segments 2024'!J52-'Segments 2024'!I52</f>
        <v>35.07</v>
      </c>
      <c r="F52" s="18" t="n">
        <f aca="false">'Segments 2024'!N52-'Segments 2024'!M52</f>
        <v>5.76000000000001</v>
      </c>
      <c r="G52" s="18" t="n">
        <f aca="false">'Segments 2024'!F52-'Segments 2024'!E52</f>
        <v>1.25</v>
      </c>
      <c r="H52" s="18" t="n">
        <f aca="false">'Segments 2024'!G52-'Segments 2024'!H52</f>
        <v>15.65</v>
      </c>
      <c r="I52" s="18" t="n">
        <f aca="false">'Segments 2024'!P52-'Segments 2024'!O52</f>
        <v>12.91</v>
      </c>
    </row>
    <row r="53" customFormat="false" ht="15" hidden="false" customHeight="false" outlineLevel="0" collapsed="false">
      <c r="A53" s="22" t="s">
        <v>626</v>
      </c>
      <c r="B53" s="22" t="s">
        <v>622</v>
      </c>
      <c r="C53" s="13" t="n">
        <f aca="false">'Segments 2024'!D53</f>
        <v>66.43</v>
      </c>
      <c r="D53" s="13" t="n">
        <f aca="false">'Segments 2024'!L53-'Segments 2024'!K53</f>
        <v>26.28</v>
      </c>
      <c r="E53" s="13" t="n">
        <f aca="false">'Segments 2024'!J53-'Segments 2024'!I53</f>
        <v>37.81</v>
      </c>
      <c r="F53" s="13" t="n">
        <f aca="false">'Segments 2024'!N53-'Segments 2024'!M53</f>
        <v>7.79000000000001</v>
      </c>
      <c r="G53" s="13" t="n">
        <f aca="false">'Segments 2024'!F53-'Segments 2024'!E53</f>
        <v>1.08</v>
      </c>
      <c r="H53" s="13" t="n">
        <f aca="false">'Segments 2024'!G53-'Segments 2024'!H53</f>
        <v>22.23</v>
      </c>
      <c r="I53" s="13" t="n">
        <f aca="false">'Segments 2024'!P53-'Segments 2024'!O53</f>
        <v>20.43</v>
      </c>
    </row>
    <row r="54" customFormat="false" ht="15" hidden="false" customHeight="false" outlineLevel="0" collapsed="false">
      <c r="A54" s="23" t="s">
        <v>628</v>
      </c>
      <c r="B54" s="23" t="s">
        <v>622</v>
      </c>
      <c r="C54" s="18" t="n">
        <f aca="false">'Segments 2024'!D54</f>
        <v>83.17</v>
      </c>
      <c r="D54" s="18" t="n">
        <f aca="false">'Segments 2024'!L54-'Segments 2024'!K54</f>
        <v>26.59</v>
      </c>
      <c r="E54" s="18" t="n">
        <f aca="false">'Segments 2024'!J54-'Segments 2024'!I54</f>
        <v>37.99</v>
      </c>
      <c r="F54" s="18" t="n">
        <f aca="false">'Segments 2024'!N54-'Segments 2024'!M54</f>
        <v>4.78999999999999</v>
      </c>
      <c r="G54" s="18" t="n">
        <f aca="false">'Segments 2024'!F54-'Segments 2024'!E54</f>
        <v>0.430000000000007</v>
      </c>
      <c r="H54" s="18" t="n">
        <f aca="false">'Segments 2024'!G54-'Segments 2024'!H54</f>
        <v>17.8</v>
      </c>
      <c r="I54" s="18" t="n">
        <f aca="false">'Segments 2024'!P54-'Segments 2024'!O54</f>
        <v>17.91</v>
      </c>
    </row>
    <row r="55" customFormat="false" ht="15" hidden="false" customHeight="false" outlineLevel="0" collapsed="false">
      <c r="A55" s="22" t="s">
        <v>630</v>
      </c>
      <c r="B55" s="22" t="s">
        <v>622</v>
      </c>
      <c r="C55" s="13" t="n">
        <f aca="false">'Segments 2024'!D55</f>
        <v>11.76</v>
      </c>
      <c r="D55" s="13" t="n">
        <f aca="false">'Segments 2024'!L55-'Segments 2024'!K55</f>
        <v>8.93</v>
      </c>
      <c r="E55" s="13" t="n">
        <f aca="false">'Segments 2024'!J55-'Segments 2024'!I55</f>
        <v>9.9</v>
      </c>
      <c r="F55" s="13" t="n">
        <f aca="false">'Segments 2024'!N55-'Segments 2024'!M55</f>
        <v>8.85</v>
      </c>
      <c r="G55" s="13" t="n">
        <f aca="false">'Segments 2024'!F55-'Segments 2024'!E55</f>
        <v>-0.899999999999999</v>
      </c>
      <c r="H55" s="13" t="n">
        <f aca="false">'Segments 2024'!G55-'Segments 2024'!H55</f>
        <v>7.15</v>
      </c>
      <c r="I55" s="13" t="n">
        <f aca="false">'Segments 2024'!P55-'Segments 2024'!O55</f>
        <v>4.97</v>
      </c>
    </row>
  </sheetData>
  <autoFilter ref="A4:I5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62"/>
    <col collapsed="false" customWidth="true" hidden="false" outlineLevel="0" max="3" min="3" style="0" width="18"/>
    <col collapsed="false" customWidth="true" hidden="false" outlineLevel="0" max="4" min="4" style="0" width="14"/>
  </cols>
  <sheetData>
    <row r="1" customFormat="false" ht="17.35" hidden="false" customHeight="false" outlineLevel="0" collapsed="false">
      <c r="A1" s="1" t="s">
        <v>639</v>
      </c>
    </row>
    <row r="2" customFormat="false" ht="15" hidden="false" customHeight="false" outlineLevel="0" collapsed="false">
      <c r="A2" s="8" t="s">
        <v>640</v>
      </c>
    </row>
    <row r="4" customFormat="false" ht="15" hidden="false" customHeight="false" outlineLevel="0" collapsed="false">
      <c r="A4" s="61" t="s">
        <v>482</v>
      </c>
      <c r="B4" s="61" t="s">
        <v>483</v>
      </c>
      <c r="C4" s="61" t="s">
        <v>267</v>
      </c>
      <c r="D4" s="61" t="s">
        <v>641</v>
      </c>
    </row>
    <row r="5" customFormat="false" ht="15" hidden="false" customHeight="false" outlineLevel="0" collapsed="false">
      <c r="A5" s="22" t="s">
        <v>642</v>
      </c>
      <c r="B5" s="22" t="s">
        <v>643</v>
      </c>
      <c r="C5" s="22" t="s">
        <v>547</v>
      </c>
      <c r="D5" s="59" t="n">
        <v>7.72</v>
      </c>
    </row>
    <row r="6" customFormat="false" ht="15" hidden="false" customHeight="false" outlineLevel="0" collapsed="false">
      <c r="A6" s="23" t="s">
        <v>644</v>
      </c>
      <c r="B6" s="23" t="s">
        <v>645</v>
      </c>
      <c r="C6" s="23" t="s">
        <v>547</v>
      </c>
      <c r="D6" s="60" t="n">
        <v>4.62</v>
      </c>
    </row>
    <row r="7" customFormat="false" ht="15" hidden="false" customHeight="false" outlineLevel="0" collapsed="false">
      <c r="A7" s="22" t="s">
        <v>646</v>
      </c>
      <c r="B7" s="22" t="s">
        <v>647</v>
      </c>
      <c r="C7" s="22" t="s">
        <v>547</v>
      </c>
      <c r="D7" s="59" t="n">
        <v>2.06</v>
      </c>
    </row>
    <row r="8" customFormat="false" ht="15" hidden="false" customHeight="false" outlineLevel="0" collapsed="false">
      <c r="A8" s="23" t="s">
        <v>648</v>
      </c>
      <c r="B8" s="23" t="s">
        <v>649</v>
      </c>
      <c r="C8" s="23" t="s">
        <v>547</v>
      </c>
      <c r="D8" s="60" t="n">
        <v>2.03</v>
      </c>
    </row>
    <row r="9" customFormat="false" ht="15" hidden="false" customHeight="false" outlineLevel="0" collapsed="false">
      <c r="A9" s="22" t="s">
        <v>650</v>
      </c>
      <c r="B9" s="22" t="s">
        <v>651</v>
      </c>
      <c r="C9" s="22" t="s">
        <v>547</v>
      </c>
      <c r="D9" s="59" t="n">
        <v>1.92</v>
      </c>
    </row>
    <row r="10" customFormat="false" ht="15" hidden="false" customHeight="false" outlineLevel="0" collapsed="false">
      <c r="A10" s="23" t="s">
        <v>652</v>
      </c>
      <c r="B10" s="23" t="s">
        <v>653</v>
      </c>
      <c r="C10" s="23" t="s">
        <v>547</v>
      </c>
      <c r="D10" s="60" t="n">
        <v>1.5</v>
      </c>
    </row>
    <row r="11" customFormat="false" ht="15" hidden="false" customHeight="false" outlineLevel="0" collapsed="false">
      <c r="A11" s="22" t="s">
        <v>654</v>
      </c>
      <c r="B11" s="22" t="s">
        <v>655</v>
      </c>
      <c r="C11" s="22" t="s">
        <v>547</v>
      </c>
      <c r="D11" s="59" t="n">
        <v>1.19</v>
      </c>
    </row>
    <row r="12" customFormat="false" ht="15" hidden="false" customHeight="false" outlineLevel="0" collapsed="false">
      <c r="A12" s="23" t="s">
        <v>656</v>
      </c>
      <c r="B12" s="23" t="s">
        <v>657</v>
      </c>
      <c r="C12" s="23" t="s">
        <v>622</v>
      </c>
      <c r="D12" s="60" t="n">
        <v>8.26</v>
      </c>
    </row>
    <row r="13" customFormat="false" ht="15" hidden="false" customHeight="false" outlineLevel="0" collapsed="false">
      <c r="A13" s="22" t="s">
        <v>658</v>
      </c>
      <c r="B13" s="22" t="s">
        <v>659</v>
      </c>
      <c r="C13" s="22" t="s">
        <v>622</v>
      </c>
      <c r="D13" s="59" t="n">
        <v>2.04</v>
      </c>
    </row>
    <row r="14" customFormat="false" ht="15" hidden="false" customHeight="false" outlineLevel="0" collapsed="false">
      <c r="A14" s="23" t="s">
        <v>660</v>
      </c>
      <c r="B14" s="23" t="s">
        <v>661</v>
      </c>
      <c r="C14" s="23" t="s">
        <v>594</v>
      </c>
      <c r="D14" s="60" t="n">
        <v>8.11</v>
      </c>
    </row>
    <row r="15" customFormat="false" ht="15" hidden="false" customHeight="false" outlineLevel="0" collapsed="false">
      <c r="A15" s="22" t="s">
        <v>662</v>
      </c>
      <c r="B15" s="22" t="s">
        <v>663</v>
      </c>
      <c r="C15" s="22" t="s">
        <v>594</v>
      </c>
      <c r="D15" s="59" t="n">
        <v>7.67</v>
      </c>
    </row>
    <row r="16" customFormat="false" ht="15" hidden="false" customHeight="false" outlineLevel="0" collapsed="false">
      <c r="A16" s="23" t="s">
        <v>664</v>
      </c>
      <c r="B16" s="23" t="s">
        <v>665</v>
      </c>
      <c r="C16" s="23" t="s">
        <v>594</v>
      </c>
      <c r="D16" s="60" t="n">
        <v>5.82</v>
      </c>
    </row>
    <row r="17" customFormat="false" ht="15" hidden="false" customHeight="false" outlineLevel="0" collapsed="false">
      <c r="A17" s="22" t="s">
        <v>666</v>
      </c>
      <c r="B17" s="22" t="s">
        <v>667</v>
      </c>
      <c r="C17" s="22" t="s">
        <v>594</v>
      </c>
      <c r="D17" s="59" t="n">
        <v>5.68</v>
      </c>
    </row>
    <row r="18" customFormat="false" ht="15" hidden="false" customHeight="false" outlineLevel="0" collapsed="false">
      <c r="A18" s="23" t="s">
        <v>668</v>
      </c>
      <c r="B18" s="23" t="s">
        <v>669</v>
      </c>
      <c r="C18" s="23" t="s">
        <v>594</v>
      </c>
      <c r="D18" s="60" t="n">
        <v>4.58</v>
      </c>
    </row>
    <row r="19" customFormat="false" ht="15" hidden="false" customHeight="false" outlineLevel="0" collapsed="false">
      <c r="A19" s="22" t="s">
        <v>670</v>
      </c>
      <c r="B19" s="22" t="s">
        <v>671</v>
      </c>
      <c r="C19" s="22" t="s">
        <v>594</v>
      </c>
      <c r="D19" s="59" t="n">
        <v>4.41</v>
      </c>
    </row>
    <row r="20" customFormat="false" ht="15" hidden="false" customHeight="false" outlineLevel="0" collapsed="false">
      <c r="A20" s="23" t="s">
        <v>672</v>
      </c>
      <c r="B20" s="23" t="s">
        <v>673</v>
      </c>
      <c r="C20" s="23" t="s">
        <v>594</v>
      </c>
      <c r="D20" s="60" t="n">
        <v>3.33</v>
      </c>
    </row>
    <row r="21" customFormat="false" ht="15" hidden="false" customHeight="false" outlineLevel="0" collapsed="false">
      <c r="A21" s="22" t="s">
        <v>674</v>
      </c>
      <c r="B21" s="22" t="s">
        <v>675</v>
      </c>
      <c r="C21" s="22" t="s">
        <v>594</v>
      </c>
      <c r="D21" s="59" t="n">
        <v>3.1</v>
      </c>
    </row>
    <row r="22" customFormat="false" ht="15" hidden="false" customHeight="false" outlineLevel="0" collapsed="false">
      <c r="A22" s="23" t="s">
        <v>676</v>
      </c>
      <c r="B22" s="23" t="s">
        <v>677</v>
      </c>
      <c r="C22" s="23" t="s">
        <v>594</v>
      </c>
      <c r="D22" s="60" t="n">
        <v>2.93</v>
      </c>
    </row>
    <row r="23" customFormat="false" ht="15" hidden="false" customHeight="false" outlineLevel="0" collapsed="false">
      <c r="A23" s="22" t="s">
        <v>678</v>
      </c>
      <c r="B23" s="22" t="s">
        <v>679</v>
      </c>
      <c r="C23" s="22" t="s">
        <v>594</v>
      </c>
      <c r="D23" s="59" t="n">
        <v>0.77</v>
      </c>
    </row>
    <row r="24" customFormat="false" ht="15" hidden="false" customHeight="false" outlineLevel="0" collapsed="false">
      <c r="A24" s="23" t="s">
        <v>680</v>
      </c>
      <c r="B24" s="23" t="s">
        <v>681</v>
      </c>
      <c r="C24" s="23" t="s">
        <v>594</v>
      </c>
      <c r="D24" s="60" t="n">
        <v>0.69</v>
      </c>
    </row>
    <row r="25" customFormat="false" ht="15" hidden="false" customHeight="false" outlineLevel="0" collapsed="false">
      <c r="A25" s="22" t="s">
        <v>682</v>
      </c>
      <c r="B25" s="22" t="s">
        <v>683</v>
      </c>
      <c r="C25" s="22" t="s">
        <v>594</v>
      </c>
      <c r="D25" s="59" t="n">
        <v>0.43</v>
      </c>
    </row>
    <row r="26" customFormat="false" ht="15" hidden="false" customHeight="false" outlineLevel="0" collapsed="false">
      <c r="A26" s="23" t="s">
        <v>684</v>
      </c>
      <c r="B26" s="23" t="s">
        <v>685</v>
      </c>
      <c r="C26" s="23" t="s">
        <v>562</v>
      </c>
      <c r="D26" s="60" t="n">
        <v>17.88</v>
      </c>
    </row>
    <row r="27" customFormat="false" ht="15" hidden="false" customHeight="false" outlineLevel="0" collapsed="false">
      <c r="A27" s="22" t="s">
        <v>686</v>
      </c>
      <c r="B27" s="22" t="s">
        <v>687</v>
      </c>
      <c r="C27" s="22" t="s">
        <v>562</v>
      </c>
      <c r="D27" s="59" t="n">
        <v>3.4</v>
      </c>
    </row>
    <row r="28" customFormat="false" ht="15" hidden="false" customHeight="false" outlineLevel="0" collapsed="false">
      <c r="A28" s="23" t="s">
        <v>688</v>
      </c>
      <c r="B28" s="23" t="s">
        <v>689</v>
      </c>
      <c r="C28" s="23" t="s">
        <v>562</v>
      </c>
      <c r="D28" s="60" t="n">
        <v>0.19</v>
      </c>
    </row>
    <row r="29" customFormat="false" ht="15" hidden="false" customHeight="false" outlineLevel="0" collapsed="false">
      <c r="A29" s="22" t="s">
        <v>690</v>
      </c>
      <c r="B29" s="22" t="s">
        <v>691</v>
      </c>
      <c r="C29" s="22" t="s">
        <v>562</v>
      </c>
      <c r="D29" s="59" t="n">
        <v>0.14</v>
      </c>
    </row>
    <row r="30" customFormat="false" ht="15" hidden="false" customHeight="false" outlineLevel="0" collapsed="false">
      <c r="A30" s="23" t="s">
        <v>692</v>
      </c>
      <c r="B30" s="23" t="s">
        <v>693</v>
      </c>
      <c r="C30" s="23" t="s">
        <v>562</v>
      </c>
      <c r="D30" s="60" t="n">
        <v>0.14</v>
      </c>
    </row>
    <row r="31" customFormat="false" ht="15" hidden="false" customHeight="false" outlineLevel="0" collapsed="false">
      <c r="A31" s="22" t="s">
        <v>694</v>
      </c>
      <c r="B31" s="22" t="s">
        <v>695</v>
      </c>
      <c r="C31" s="22" t="s">
        <v>602</v>
      </c>
      <c r="D31" s="59" t="n">
        <v>2.59</v>
      </c>
    </row>
    <row r="32" customFormat="false" ht="15" hidden="false" customHeight="false" outlineLevel="0" collapsed="false">
      <c r="A32" s="23" t="s">
        <v>696</v>
      </c>
      <c r="B32" s="23" t="s">
        <v>697</v>
      </c>
      <c r="C32" s="23" t="s">
        <v>613</v>
      </c>
      <c r="D32" s="60" t="n">
        <v>9.93</v>
      </c>
    </row>
    <row r="33" customFormat="false" ht="15" hidden="false" customHeight="false" outlineLevel="0" collapsed="false">
      <c r="A33" s="22" t="s">
        <v>698</v>
      </c>
      <c r="B33" s="22" t="s">
        <v>699</v>
      </c>
      <c r="C33" s="22" t="s">
        <v>613</v>
      </c>
      <c r="D33" s="59" t="n">
        <v>4.01</v>
      </c>
    </row>
    <row r="34" customFormat="false" ht="15" hidden="false" customHeight="false" outlineLevel="0" collapsed="false">
      <c r="A34" s="23" t="s">
        <v>700</v>
      </c>
      <c r="B34" s="23" t="s">
        <v>701</v>
      </c>
      <c r="C34" s="23" t="s">
        <v>613</v>
      </c>
      <c r="D34" s="60" t="n">
        <v>4.01</v>
      </c>
    </row>
    <row r="35" customFormat="false" ht="15" hidden="false" customHeight="false" outlineLevel="0" collapsed="false">
      <c r="A35" s="22" t="s">
        <v>702</v>
      </c>
      <c r="B35" s="22" t="s">
        <v>703</v>
      </c>
      <c r="C35" s="22" t="s">
        <v>613</v>
      </c>
      <c r="D35" s="59" t="n">
        <v>3.54</v>
      </c>
    </row>
    <row r="36" customFormat="false" ht="15" hidden="false" customHeight="false" outlineLevel="0" collapsed="false">
      <c r="A36" s="23" t="s">
        <v>704</v>
      </c>
      <c r="B36" s="23" t="s">
        <v>705</v>
      </c>
      <c r="C36" s="23" t="s">
        <v>613</v>
      </c>
      <c r="D36" s="60" t="n">
        <v>1.74</v>
      </c>
    </row>
  </sheetData>
  <autoFilter ref="A4:D3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52"/>
    <col collapsed="false" customWidth="true" hidden="false" outlineLevel="0" max="7" min="3" style="0" width="11"/>
    <col collapsed="false" customWidth="true" hidden="false" outlineLevel="0" max="9" min="8" style="0" width="17"/>
  </cols>
  <sheetData>
    <row r="1" customFormat="false" ht="17.35" hidden="false" customHeight="false" outlineLevel="0" collapsed="false">
      <c r="A1" s="1" t="s">
        <v>706</v>
      </c>
    </row>
    <row r="2" customFormat="false" ht="15" hidden="false" customHeight="false" outlineLevel="0" collapsed="false">
      <c r="A2" s="8" t="s">
        <v>707</v>
      </c>
    </row>
    <row r="4" customFormat="false" ht="30" hidden="false" customHeight="true" outlineLevel="0" collapsed="false">
      <c r="A4" s="9" t="s">
        <v>482</v>
      </c>
      <c r="B4" s="9" t="s">
        <v>483</v>
      </c>
      <c r="C4" s="10" t="s">
        <v>708</v>
      </c>
      <c r="D4" s="10" t="s">
        <v>709</v>
      </c>
      <c r="E4" s="10" t="s">
        <v>710</v>
      </c>
      <c r="F4" s="10" t="s">
        <v>254</v>
      </c>
      <c r="G4" s="10" t="s">
        <v>256</v>
      </c>
      <c r="H4" s="10" t="s">
        <v>711</v>
      </c>
      <c r="I4" s="10" t="s">
        <v>712</v>
      </c>
    </row>
    <row r="5" customFormat="false" ht="15" hidden="false" customHeight="false" outlineLevel="0" collapsed="false">
      <c r="A5" s="22" t="s">
        <v>545</v>
      </c>
      <c r="B5" s="22" t="s">
        <v>546</v>
      </c>
      <c r="C5" s="59" t="n">
        <v>21.37</v>
      </c>
      <c r="D5" s="59" t="n">
        <v>30.95</v>
      </c>
      <c r="E5" s="59" t="n">
        <v>30.8</v>
      </c>
      <c r="F5" s="59" t="n">
        <v>56.27</v>
      </c>
      <c r="G5" s="59" t="n">
        <v>70.55</v>
      </c>
      <c r="H5" s="13" t="n">
        <f aca="false">IF(OR(E5="",G5=""),"",G5-E5)</f>
        <v>39.75</v>
      </c>
      <c r="I5" s="13" t="n">
        <f aca="false">IF(OR(F5="",G5=""),"",G5-F5)</f>
        <v>14.28</v>
      </c>
    </row>
    <row r="6" customFormat="false" ht="15" hidden="false" customHeight="false" outlineLevel="0" collapsed="false">
      <c r="A6" s="23" t="s">
        <v>548</v>
      </c>
      <c r="B6" s="23" t="s">
        <v>549</v>
      </c>
      <c r="C6" s="60" t="n">
        <v>21.37</v>
      </c>
      <c r="D6" s="60" t="n">
        <v>30.86</v>
      </c>
      <c r="E6" s="60" t="n">
        <v>30.02</v>
      </c>
      <c r="F6" s="60" t="n">
        <v>56.06</v>
      </c>
      <c r="G6" s="60" t="n">
        <v>69.85</v>
      </c>
      <c r="H6" s="18" t="n">
        <f aca="false">IF(OR(E6="",G6=""),"",G6-E6)</f>
        <v>39.83</v>
      </c>
      <c r="I6" s="18" t="n">
        <f aca="false">IF(OR(F6="",G6=""),"",G6-F6)</f>
        <v>13.79</v>
      </c>
    </row>
    <row r="7" customFormat="false" ht="15" hidden="false" customHeight="false" outlineLevel="0" collapsed="false">
      <c r="A7" s="22" t="s">
        <v>550</v>
      </c>
      <c r="B7" s="22" t="s">
        <v>551</v>
      </c>
      <c r="C7" s="59"/>
      <c r="D7" s="59" t="n">
        <v>0.5</v>
      </c>
      <c r="E7" s="59" t="n">
        <v>3.5</v>
      </c>
      <c r="F7" s="59" t="n">
        <v>16.47</v>
      </c>
      <c r="G7" s="59" t="n">
        <v>38.72</v>
      </c>
      <c r="H7" s="13" t="n">
        <f aca="false">IF(OR(E7="",G7=""),"",G7-E7)</f>
        <v>35.22</v>
      </c>
      <c r="I7" s="13" t="n">
        <f aca="false">IF(OR(F7="",G7=""),"",G7-F7)</f>
        <v>22.25</v>
      </c>
    </row>
    <row r="8" customFormat="false" ht="15" hidden="false" customHeight="false" outlineLevel="0" collapsed="false">
      <c r="A8" s="23" t="s">
        <v>552</v>
      </c>
      <c r="B8" s="23" t="s">
        <v>553</v>
      </c>
      <c r="C8" s="60" t="n">
        <v>14.59</v>
      </c>
      <c r="D8" s="60" t="n">
        <v>26.51</v>
      </c>
      <c r="E8" s="60" t="n">
        <v>26.74</v>
      </c>
      <c r="F8" s="60" t="n">
        <v>48.87</v>
      </c>
      <c r="G8" s="60" t="n">
        <v>64.82</v>
      </c>
      <c r="H8" s="18" t="n">
        <f aca="false">IF(OR(E8="",G8=""),"",G8-E8)</f>
        <v>38.08</v>
      </c>
      <c r="I8" s="18" t="n">
        <f aca="false">IF(OR(F8="",G8=""),"",G8-F8)</f>
        <v>15.95</v>
      </c>
    </row>
    <row r="9" customFormat="false" ht="15" hidden="false" customHeight="false" outlineLevel="0" collapsed="false">
      <c r="A9" s="22" t="s">
        <v>664</v>
      </c>
      <c r="B9" s="22" t="s">
        <v>665</v>
      </c>
      <c r="C9" s="59" t="n">
        <v>1.24</v>
      </c>
      <c r="D9" s="59" t="n">
        <v>1.93</v>
      </c>
      <c r="E9" s="59" t="n">
        <v>4.12</v>
      </c>
      <c r="F9" s="59" t="n">
        <v>5.64</v>
      </c>
      <c r="G9" s="59" t="n">
        <v>5.82</v>
      </c>
      <c r="H9" s="13" t="n">
        <f aca="false">IF(OR(E9="",G9=""),"",G9-E9)</f>
        <v>1.7</v>
      </c>
      <c r="I9" s="13" t="n">
        <f aca="false">IF(OR(F9="",G9=""),"",G9-F9)</f>
        <v>0.180000000000001</v>
      </c>
    </row>
    <row r="10" customFormat="false" ht="15" hidden="false" customHeight="false" outlineLevel="0" collapsed="false">
      <c r="A10" s="23" t="s">
        <v>560</v>
      </c>
      <c r="B10" s="23" t="s">
        <v>561</v>
      </c>
      <c r="C10" s="60"/>
      <c r="D10" s="60" t="n">
        <v>19.38</v>
      </c>
      <c r="E10" s="60" t="n">
        <v>22.74</v>
      </c>
      <c r="F10" s="60" t="n">
        <v>45.98</v>
      </c>
      <c r="G10" s="60" t="n">
        <v>62.38</v>
      </c>
      <c r="H10" s="18" t="n">
        <f aca="false">IF(OR(E10="",G10=""),"",G10-E10)</f>
        <v>39.64</v>
      </c>
      <c r="I10" s="18" t="n">
        <f aca="false">IF(OR(F10="",G10=""),"",G10-F10)</f>
        <v>16.4</v>
      </c>
    </row>
    <row r="11" customFormat="false" ht="15" hidden="false" customHeight="false" outlineLevel="0" collapsed="false">
      <c r="A11" s="22" t="s">
        <v>563</v>
      </c>
      <c r="B11" s="22" t="s">
        <v>564</v>
      </c>
      <c r="C11" s="59"/>
      <c r="D11" s="59" t="n">
        <v>10.59</v>
      </c>
      <c r="E11" s="59" t="n">
        <v>16.1</v>
      </c>
      <c r="F11" s="59" t="n">
        <v>41.93</v>
      </c>
      <c r="G11" s="59" t="n">
        <v>56.47</v>
      </c>
      <c r="H11" s="13" t="n">
        <f aca="false">IF(OR(E11="",G11=""),"",G11-E11)</f>
        <v>40.37</v>
      </c>
      <c r="I11" s="13" t="n">
        <f aca="false">IF(OR(F11="",G11=""),"",G11-F11)</f>
        <v>14.54</v>
      </c>
    </row>
    <row r="12" customFormat="false" ht="15" hidden="false" customHeight="false" outlineLevel="0" collapsed="false">
      <c r="A12" s="23" t="s">
        <v>565</v>
      </c>
      <c r="B12" s="23" t="s">
        <v>566</v>
      </c>
      <c r="C12" s="60"/>
      <c r="D12" s="60" t="n">
        <v>15.67</v>
      </c>
      <c r="E12" s="60" t="n">
        <v>14.92</v>
      </c>
      <c r="F12" s="60" t="n">
        <v>30.82</v>
      </c>
      <c r="G12" s="60" t="n">
        <v>48.05</v>
      </c>
      <c r="H12" s="18" t="n">
        <f aca="false">IF(OR(E12="",G12=""),"",G12-E12)</f>
        <v>33.13</v>
      </c>
      <c r="I12" s="18" t="n">
        <f aca="false">IF(OR(F12="",G12=""),"",G12-F12)</f>
        <v>17.23</v>
      </c>
    </row>
    <row r="13" customFormat="false" ht="15" hidden="false" customHeight="false" outlineLevel="0" collapsed="false">
      <c r="A13" s="22" t="s">
        <v>569</v>
      </c>
      <c r="B13" s="22" t="s">
        <v>570</v>
      </c>
      <c r="C13" s="59"/>
      <c r="D13" s="59"/>
      <c r="E13" s="59"/>
      <c r="F13" s="59" t="n">
        <v>24.26</v>
      </c>
      <c r="G13" s="59" t="n">
        <v>51.13</v>
      </c>
      <c r="H13" s="13" t="str">
        <f aca="false">IF(OR(E13="",G13=""),"",G13-E13)</f>
        <v/>
      </c>
      <c r="I13" s="13" t="n">
        <f aca="false">IF(OR(F13="",G13=""),"",G13-F13)</f>
        <v>26.87</v>
      </c>
    </row>
    <row r="14" customFormat="false" ht="15" hidden="false" customHeight="false" outlineLevel="0" collapsed="false">
      <c r="A14" s="23" t="s">
        <v>571</v>
      </c>
      <c r="B14" s="23" t="s">
        <v>713</v>
      </c>
      <c r="C14" s="60"/>
      <c r="D14" s="60"/>
      <c r="E14" s="60"/>
      <c r="F14" s="60" t="n">
        <v>21.17</v>
      </c>
      <c r="G14" s="60" t="n">
        <v>48.26</v>
      </c>
      <c r="H14" s="18" t="str">
        <f aca="false">IF(OR(E14="",G14=""),"",G14-E14)</f>
        <v/>
      </c>
      <c r="I14" s="18" t="n">
        <f aca="false">IF(OR(F14="",G14=""),"",G14-F14)</f>
        <v>27.09</v>
      </c>
    </row>
    <row r="15" customFormat="false" ht="15" hidden="false" customHeight="false" outlineLevel="0" collapsed="false">
      <c r="A15" s="22" t="s">
        <v>573</v>
      </c>
      <c r="B15" s="22" t="s">
        <v>574</v>
      </c>
      <c r="C15" s="59"/>
      <c r="D15" s="59"/>
      <c r="E15" s="59" t="n">
        <v>6.53</v>
      </c>
      <c r="F15" s="59" t="n">
        <v>25.02</v>
      </c>
      <c r="G15" s="59" t="n">
        <v>45.5</v>
      </c>
      <c r="H15" s="13" t="n">
        <f aca="false">IF(OR(E15="",G15=""),"",G15-E15)</f>
        <v>38.97</v>
      </c>
      <c r="I15" s="13" t="n">
        <f aca="false">IF(OR(F15="",G15=""),"",G15-F15)</f>
        <v>20.48</v>
      </c>
    </row>
    <row r="16" customFormat="false" ht="15" hidden="false" customHeight="false" outlineLevel="0" collapsed="false">
      <c r="A16" s="23" t="s">
        <v>583</v>
      </c>
      <c r="B16" s="23" t="s">
        <v>584</v>
      </c>
      <c r="C16" s="60"/>
      <c r="D16" s="60" t="n">
        <v>0.63</v>
      </c>
      <c r="E16" s="60" t="n">
        <v>3.35</v>
      </c>
      <c r="F16" s="60" t="n">
        <v>15.51</v>
      </c>
      <c r="G16" s="60" t="n">
        <v>32.7</v>
      </c>
      <c r="H16" s="18" t="n">
        <f aca="false">IF(OR(E16="",G16=""),"",G16-E16)</f>
        <v>29.35</v>
      </c>
      <c r="I16" s="18" t="n">
        <f aca="false">IF(OR(F16="",G16=""),"",G16-F16)</f>
        <v>17.19</v>
      </c>
    </row>
    <row r="17" customFormat="false" ht="15" hidden="false" customHeight="false" outlineLevel="0" collapsed="false">
      <c r="A17" s="22" t="s">
        <v>585</v>
      </c>
      <c r="B17" s="22" t="s">
        <v>586</v>
      </c>
      <c r="C17" s="59"/>
      <c r="D17" s="59" t="n">
        <v>85.69</v>
      </c>
      <c r="E17" s="59" t="n">
        <v>69.13</v>
      </c>
      <c r="F17" s="59" t="n">
        <v>39.07</v>
      </c>
      <c r="G17" s="59" t="n">
        <v>25.06</v>
      </c>
      <c r="H17" s="13" t="n">
        <f aca="false">IF(OR(E17="",G17=""),"",G17-E17)</f>
        <v>-44.07</v>
      </c>
      <c r="I17" s="13" t="n">
        <f aca="false">IF(OR(F17="",G17=""),"",G17-F17)</f>
        <v>-14.01</v>
      </c>
    </row>
    <row r="18" customFormat="false" ht="15" hidden="false" customHeight="false" outlineLevel="0" collapsed="false">
      <c r="A18" s="23" t="s">
        <v>509</v>
      </c>
      <c r="B18" s="23" t="s">
        <v>510</v>
      </c>
      <c r="C18" s="60"/>
      <c r="D18" s="60" t="n">
        <v>7.76</v>
      </c>
      <c r="E18" s="60" t="n">
        <v>10.43</v>
      </c>
      <c r="F18" s="60" t="n">
        <v>23.77</v>
      </c>
      <c r="G18" s="60" t="n">
        <v>36.99</v>
      </c>
      <c r="H18" s="18" t="n">
        <f aca="false">IF(OR(E18="",G18=""),"",G18-E18)</f>
        <v>26.56</v>
      </c>
      <c r="I18" s="18" t="n">
        <f aca="false">IF(OR(F18="",G18=""),"",G18-F18)</f>
        <v>13.22</v>
      </c>
    </row>
    <row r="19" customFormat="false" ht="15" hidden="false" customHeight="false" outlineLevel="0" collapsed="false">
      <c r="A19" s="22" t="s">
        <v>603</v>
      </c>
      <c r="B19" s="22" t="s">
        <v>604</v>
      </c>
      <c r="C19" s="59"/>
      <c r="D19" s="59" t="n">
        <v>0</v>
      </c>
      <c r="E19" s="59" t="n">
        <v>0.57</v>
      </c>
      <c r="F19" s="59" t="n">
        <v>4.71</v>
      </c>
      <c r="G19" s="59" t="n">
        <v>19.66</v>
      </c>
      <c r="H19" s="13" t="n">
        <f aca="false">IF(OR(E19="",G19=""),"",G19-E19)</f>
        <v>19.09</v>
      </c>
      <c r="I19" s="13" t="n">
        <f aca="false">IF(OR(F19="",G19=""),"",G19-F19)</f>
        <v>14.95</v>
      </c>
    </row>
    <row r="20" customFormat="false" ht="15" hidden="false" customHeight="false" outlineLevel="0" collapsed="false">
      <c r="A20" s="23" t="s">
        <v>587</v>
      </c>
      <c r="B20" s="23" t="s">
        <v>588</v>
      </c>
      <c r="C20" s="60"/>
      <c r="D20" s="60" t="n">
        <v>63.3</v>
      </c>
      <c r="E20" s="60" t="n">
        <v>57.4</v>
      </c>
      <c r="F20" s="60" t="n">
        <v>52.4</v>
      </c>
      <c r="G20" s="60" t="n">
        <v>68.57</v>
      </c>
      <c r="H20" s="18" t="n">
        <f aca="false">IF(OR(E20="",G20=""),"",G20-E20)</f>
        <v>11.17</v>
      </c>
      <c r="I20" s="18" t="n">
        <f aca="false">IF(OR(F20="",G20=""),"",G20-F20)</f>
        <v>16.17</v>
      </c>
    </row>
    <row r="21" customFormat="false" ht="15" hidden="false" customHeight="false" outlineLevel="0" collapsed="false">
      <c r="A21" s="22" t="s">
        <v>486</v>
      </c>
      <c r="B21" s="22" t="s">
        <v>487</v>
      </c>
      <c r="C21" s="59" t="n">
        <v>7.74</v>
      </c>
      <c r="D21" s="59" t="n">
        <v>14.61</v>
      </c>
      <c r="E21" s="59" t="n">
        <v>14.48</v>
      </c>
      <c r="F21" s="59" t="n">
        <v>19.86</v>
      </c>
      <c r="G21" s="59" t="n">
        <v>43.09</v>
      </c>
      <c r="H21" s="13" t="n">
        <f aca="false">IF(OR(E21="",G21=""),"",G21-E21)</f>
        <v>28.61</v>
      </c>
      <c r="I21" s="13" t="n">
        <f aca="false">IF(OR(F21="",G21=""),"",G21-F21)</f>
        <v>23.23</v>
      </c>
    </row>
    <row r="22" customFormat="false" ht="15" hidden="false" customHeight="false" outlineLevel="0" collapsed="false">
      <c r="A22" s="23" t="s">
        <v>590</v>
      </c>
      <c r="B22" s="23" t="s">
        <v>591</v>
      </c>
      <c r="C22" s="60"/>
      <c r="D22" s="60"/>
      <c r="E22" s="60"/>
      <c r="F22" s="60" t="n">
        <v>4.6</v>
      </c>
      <c r="G22" s="60" t="n">
        <v>10.06</v>
      </c>
      <c r="H22" s="18" t="str">
        <f aca="false">IF(OR(E22="",G22=""),"",G22-E22)</f>
        <v/>
      </c>
      <c r="I22" s="18" t="n">
        <f aca="false">IF(OR(F22="",G22=""),"",G22-F22)</f>
        <v>5.46</v>
      </c>
    </row>
    <row r="23" customFormat="false" ht="15" hidden="false" customHeight="false" outlineLevel="0" collapsed="false">
      <c r="A23" s="22" t="s">
        <v>592</v>
      </c>
      <c r="B23" s="22" t="s">
        <v>593</v>
      </c>
      <c r="C23" s="59"/>
      <c r="D23" s="59" t="n">
        <v>47.45</v>
      </c>
      <c r="E23" s="59" t="n">
        <v>49.02</v>
      </c>
      <c r="F23" s="59" t="n">
        <v>27.54</v>
      </c>
      <c r="G23" s="59" t="n">
        <v>43.2</v>
      </c>
      <c r="H23" s="13" t="n">
        <f aca="false">IF(OR(E23="",G23=""),"",G23-E23)</f>
        <v>-5.82</v>
      </c>
      <c r="I23" s="13" t="n">
        <f aca="false">IF(OR(F23="",G23=""),"",G23-F23)</f>
        <v>15.66</v>
      </c>
    </row>
    <row r="24" customFormat="false" ht="15" hidden="false" customHeight="false" outlineLevel="0" collapsed="false">
      <c r="A24" s="23" t="s">
        <v>662</v>
      </c>
      <c r="B24" s="23" t="s">
        <v>663</v>
      </c>
      <c r="C24" s="60"/>
      <c r="D24" s="60" t="n">
        <v>19.5</v>
      </c>
      <c r="E24" s="60" t="n">
        <v>21.72</v>
      </c>
      <c r="F24" s="60" t="n">
        <v>10.02</v>
      </c>
      <c r="G24" s="60" t="n">
        <v>7.67</v>
      </c>
      <c r="H24" s="18" t="n">
        <f aca="false">IF(OR(E24="",G24=""),"",G24-E24)</f>
        <v>-14.05</v>
      </c>
      <c r="I24" s="18" t="n">
        <f aca="false">IF(OR(F24="",G24=""),"",G24-F24)</f>
        <v>-2.35</v>
      </c>
    </row>
    <row r="25" customFormat="false" ht="15" hidden="false" customHeight="false" outlineLevel="0" collapsed="false">
      <c r="A25" s="22" t="s">
        <v>595</v>
      </c>
      <c r="B25" s="22" t="s">
        <v>596</v>
      </c>
      <c r="C25" s="59"/>
      <c r="D25" s="59" t="n">
        <v>29.88</v>
      </c>
      <c r="E25" s="59" t="n">
        <v>29.54</v>
      </c>
      <c r="F25" s="59" t="n">
        <v>17.94</v>
      </c>
      <c r="G25" s="59" t="n">
        <v>33.59</v>
      </c>
      <c r="H25" s="13" t="n">
        <f aca="false">IF(OR(E25="",G25=""),"",G25-E25)</f>
        <v>4.05</v>
      </c>
      <c r="I25" s="13" t="n">
        <f aca="false">IF(OR(F25="",G25=""),"",G25-F25)</f>
        <v>15.65</v>
      </c>
    </row>
    <row r="26" customFormat="false" ht="15" hidden="false" customHeight="false" outlineLevel="0" collapsed="false">
      <c r="A26" s="23" t="s">
        <v>666</v>
      </c>
      <c r="B26" s="23" t="s">
        <v>667</v>
      </c>
      <c r="C26" s="60"/>
      <c r="D26" s="60" t="n">
        <v>7.12</v>
      </c>
      <c r="E26" s="60" t="n">
        <v>14.79</v>
      </c>
      <c r="F26" s="60"/>
      <c r="G26" s="60" t="n">
        <v>5.68</v>
      </c>
      <c r="H26" s="18" t="n">
        <f aca="false">IF(OR(E26="",G26=""),"",G26-E26)</f>
        <v>-9.11</v>
      </c>
      <c r="I26" s="18" t="str">
        <f aca="false">IF(OR(F26="",G26=""),"",G26-F26)</f>
        <v/>
      </c>
    </row>
    <row r="27" customFormat="false" ht="15" hidden="false" customHeight="false" outlineLevel="0" collapsed="false">
      <c r="A27" s="22" t="s">
        <v>670</v>
      </c>
      <c r="B27" s="22" t="s">
        <v>671</v>
      </c>
      <c r="C27" s="59"/>
      <c r="D27" s="59" t="n">
        <v>7.72</v>
      </c>
      <c r="E27" s="59" t="n">
        <v>9.07</v>
      </c>
      <c r="F27" s="59" t="n">
        <v>3.88</v>
      </c>
      <c r="G27" s="59" t="n">
        <v>4.41</v>
      </c>
      <c r="H27" s="13" t="n">
        <f aca="false">IF(OR(E27="",G27=""),"",G27-E27)</f>
        <v>-4.66</v>
      </c>
      <c r="I27" s="13" t="n">
        <f aca="false">IF(OR(F27="",G27=""),"",G27-F27)</f>
        <v>0.53</v>
      </c>
    </row>
    <row r="28" customFormat="false" ht="15" hidden="false" customHeight="false" outlineLevel="0" collapsed="false">
      <c r="A28" s="23" t="s">
        <v>646</v>
      </c>
      <c r="B28" s="23" t="s">
        <v>647</v>
      </c>
      <c r="C28" s="60"/>
      <c r="D28" s="60" t="n">
        <v>4.75</v>
      </c>
      <c r="E28" s="60" t="n">
        <v>2.88</v>
      </c>
      <c r="F28" s="60" t="n">
        <v>4.32</v>
      </c>
      <c r="G28" s="60" t="n">
        <v>2.06</v>
      </c>
      <c r="H28" s="18" t="n">
        <f aca="false">IF(OR(E28="",G28=""),"",G28-E28)</f>
        <v>-0.82</v>
      </c>
      <c r="I28" s="18" t="n">
        <f aca="false">IF(OR(F28="",G28=""),"",G28-F28)</f>
        <v>-2.26</v>
      </c>
    </row>
    <row r="29" customFormat="false" ht="15" hidden="false" customHeight="false" outlineLevel="0" collapsed="false">
      <c r="A29" s="22" t="s">
        <v>605</v>
      </c>
      <c r="B29" s="22" t="s">
        <v>606</v>
      </c>
      <c r="C29" s="59"/>
      <c r="D29" s="59" t="n">
        <v>28.46</v>
      </c>
      <c r="E29" s="59" t="n">
        <v>24.22</v>
      </c>
      <c r="F29" s="59" t="n">
        <v>16.34</v>
      </c>
      <c r="G29" s="59" t="n">
        <v>23.75</v>
      </c>
      <c r="H29" s="13" t="n">
        <f aca="false">IF(OR(E29="",G29=""),"",G29-E29)</f>
        <v>-0.469999999999999</v>
      </c>
      <c r="I29" s="13" t="n">
        <f aca="false">IF(OR(F29="",G29=""),"",G29-F29)</f>
        <v>7.41</v>
      </c>
    </row>
    <row r="30" customFormat="false" ht="15" hidden="false" customHeight="false" outlineLevel="0" collapsed="false">
      <c r="A30" s="23" t="s">
        <v>607</v>
      </c>
      <c r="B30" s="23" t="s">
        <v>714</v>
      </c>
      <c r="C30" s="60"/>
      <c r="D30" s="60" t="n">
        <v>28</v>
      </c>
      <c r="E30" s="60" t="n">
        <v>22.87</v>
      </c>
      <c r="F30" s="60" t="n">
        <v>14.38</v>
      </c>
      <c r="G30" s="60" t="n">
        <v>17.48</v>
      </c>
      <c r="H30" s="18" t="n">
        <f aca="false">IF(OR(E30="",G30=""),"",G30-E30)</f>
        <v>-5.39</v>
      </c>
      <c r="I30" s="18" t="n">
        <f aca="false">IF(OR(F30="",G30=""),"",G30-F30)</f>
        <v>3.1</v>
      </c>
    </row>
  </sheetData>
  <autoFilter ref="A4:I3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6"/>
    <col collapsed="false" customWidth="true" hidden="false" outlineLevel="0" max="3" min="3" style="0" width="30"/>
    <col collapsed="false" customWidth="true" hidden="false" outlineLevel="0" max="4" min="4" style="0" width="18"/>
    <col collapsed="false" customWidth="true" hidden="false" outlineLevel="0" max="5" min="5" style="0" width="34"/>
  </cols>
  <sheetData>
    <row r="1" customFormat="false" ht="17.35" hidden="false" customHeight="false" outlineLevel="0" collapsed="false">
      <c r="A1" s="1" t="s">
        <v>715</v>
      </c>
    </row>
    <row r="2" customFormat="false" ht="15" hidden="false" customHeight="false" outlineLevel="0" collapsed="false">
      <c r="A2" s="8" t="s">
        <v>716</v>
      </c>
    </row>
    <row r="4" customFormat="false" ht="15" hidden="false" customHeight="false" outlineLevel="0" collapsed="false">
      <c r="A4" s="61" t="s">
        <v>717</v>
      </c>
      <c r="B4" s="61" t="s">
        <v>483</v>
      </c>
      <c r="C4" s="61" t="s">
        <v>86</v>
      </c>
      <c r="D4" s="61" t="s">
        <v>718</v>
      </c>
      <c r="E4" s="61" t="s">
        <v>159</v>
      </c>
    </row>
    <row r="5" customFormat="false" ht="15" hidden="false" customHeight="false" outlineLevel="0" collapsed="false">
      <c r="A5" s="62" t="s">
        <v>719</v>
      </c>
      <c r="B5" s="62" t="s">
        <v>720</v>
      </c>
      <c r="C5" s="62" t="s">
        <v>721</v>
      </c>
      <c r="D5" s="62" t="s">
        <v>61</v>
      </c>
      <c r="E5" s="62" t="s">
        <v>722</v>
      </c>
    </row>
    <row r="6" customFormat="false" ht="15" hidden="false" customHeight="false" outlineLevel="0" collapsed="false">
      <c r="A6" s="52" t="s">
        <v>719</v>
      </c>
      <c r="B6" s="52" t="s">
        <v>720</v>
      </c>
      <c r="C6" s="52" t="s">
        <v>723</v>
      </c>
      <c r="D6" s="52" t="s">
        <v>60</v>
      </c>
      <c r="E6" s="52" t="s">
        <v>722</v>
      </c>
    </row>
    <row r="7" customFormat="false" ht="15" hidden="false" customHeight="false" outlineLevel="0" collapsed="false">
      <c r="A7" s="50" t="s">
        <v>719</v>
      </c>
      <c r="B7" s="50" t="s">
        <v>720</v>
      </c>
      <c r="C7" s="50" t="s">
        <v>724</v>
      </c>
      <c r="D7" s="50" t="s">
        <v>59</v>
      </c>
      <c r="E7" s="50" t="s">
        <v>722</v>
      </c>
    </row>
    <row r="8" customFormat="false" ht="15" hidden="false" customHeight="false" outlineLevel="0" collapsed="false">
      <c r="A8" s="52" t="s">
        <v>719</v>
      </c>
      <c r="B8" s="52" t="s">
        <v>725</v>
      </c>
      <c r="C8" s="52" t="s">
        <v>726</v>
      </c>
      <c r="D8" s="52" t="s">
        <v>727</v>
      </c>
      <c r="E8" s="52" t="s">
        <v>728</v>
      </c>
    </row>
    <row r="9" customFormat="false" ht="15" hidden="false" customHeight="false" outlineLevel="0" collapsed="false">
      <c r="A9" s="50" t="s">
        <v>719</v>
      </c>
      <c r="B9" s="50" t="s">
        <v>725</v>
      </c>
      <c r="C9" s="50" t="s">
        <v>729</v>
      </c>
      <c r="D9" s="50" t="s">
        <v>727</v>
      </c>
      <c r="E9" s="50" t="s">
        <v>730</v>
      </c>
    </row>
    <row r="10" customFormat="false" ht="15" hidden="false" customHeight="false" outlineLevel="0" collapsed="false">
      <c r="A10" s="52" t="s">
        <v>719</v>
      </c>
      <c r="B10" s="52" t="s">
        <v>725</v>
      </c>
      <c r="C10" s="52" t="s">
        <v>731</v>
      </c>
      <c r="D10" s="52" t="s">
        <v>727</v>
      </c>
      <c r="E10" s="52" t="s">
        <v>732</v>
      </c>
    </row>
    <row r="11" customFormat="false" ht="15" hidden="false" customHeight="false" outlineLevel="0" collapsed="false">
      <c r="A11" s="50" t="s">
        <v>719</v>
      </c>
      <c r="B11" s="50" t="s">
        <v>733</v>
      </c>
      <c r="C11" s="50" t="s">
        <v>734</v>
      </c>
      <c r="D11" s="50" t="s">
        <v>735</v>
      </c>
      <c r="E11" s="50" t="s">
        <v>722</v>
      </c>
    </row>
    <row r="12" customFormat="false" ht="15" hidden="false" customHeight="false" outlineLevel="0" collapsed="false">
      <c r="A12" s="52" t="s">
        <v>719</v>
      </c>
      <c r="B12" s="52" t="s">
        <v>736</v>
      </c>
      <c r="C12" s="52" t="s">
        <v>737</v>
      </c>
      <c r="D12" s="52" t="s">
        <v>61</v>
      </c>
      <c r="E12" s="52" t="s">
        <v>722</v>
      </c>
    </row>
    <row r="13" customFormat="false" ht="15" hidden="false" customHeight="false" outlineLevel="0" collapsed="false">
      <c r="A13" s="50" t="s">
        <v>719</v>
      </c>
      <c r="B13" s="50" t="s">
        <v>738</v>
      </c>
      <c r="C13" s="50" t="s">
        <v>739</v>
      </c>
      <c r="D13" s="50" t="s">
        <v>735</v>
      </c>
      <c r="E13" s="50" t="s">
        <v>722</v>
      </c>
    </row>
    <row r="14" customFormat="false" ht="23.85" hidden="false" customHeight="false" outlineLevel="0" collapsed="false">
      <c r="A14" s="52" t="s">
        <v>719</v>
      </c>
      <c r="B14" s="52" t="s">
        <v>740</v>
      </c>
      <c r="C14" s="52" t="s">
        <v>741</v>
      </c>
      <c r="D14" s="52" t="s">
        <v>61</v>
      </c>
      <c r="E14" s="52" t="s">
        <v>722</v>
      </c>
    </row>
    <row r="15" customFormat="false" ht="15" hidden="false" customHeight="false" outlineLevel="0" collapsed="false">
      <c r="A15" s="50" t="s">
        <v>719</v>
      </c>
      <c r="B15" s="50" t="s">
        <v>742</v>
      </c>
      <c r="C15" s="50" t="s">
        <v>743</v>
      </c>
      <c r="D15" s="50" t="s">
        <v>61</v>
      </c>
      <c r="E15" s="50" t="s">
        <v>722</v>
      </c>
    </row>
    <row r="16" customFormat="false" ht="15" hidden="false" customHeight="false" outlineLevel="0" collapsed="false">
      <c r="A16" s="52" t="s">
        <v>719</v>
      </c>
      <c r="B16" s="52" t="s">
        <v>744</v>
      </c>
      <c r="C16" s="52" t="s">
        <v>745</v>
      </c>
      <c r="D16" s="52" t="s">
        <v>61</v>
      </c>
      <c r="E16" s="52" t="s">
        <v>722</v>
      </c>
    </row>
    <row r="17" customFormat="false" ht="15" hidden="false" customHeight="false" outlineLevel="0" collapsed="false">
      <c r="A17" s="50" t="s">
        <v>719</v>
      </c>
      <c r="B17" s="50" t="s">
        <v>746</v>
      </c>
      <c r="C17" s="50" t="s">
        <v>747</v>
      </c>
      <c r="D17" s="50" t="s">
        <v>61</v>
      </c>
      <c r="E17" s="50" t="s">
        <v>722</v>
      </c>
    </row>
    <row r="18" customFormat="false" ht="15" hidden="false" customHeight="false" outlineLevel="0" collapsed="false">
      <c r="A18" s="52" t="s">
        <v>719</v>
      </c>
      <c r="B18" s="52" t="s">
        <v>748</v>
      </c>
      <c r="C18" s="52" t="s">
        <v>749</v>
      </c>
      <c r="D18" s="52" t="s">
        <v>61</v>
      </c>
      <c r="E18" s="52" t="s">
        <v>722</v>
      </c>
    </row>
    <row r="19" customFormat="false" ht="15" hidden="false" customHeight="false" outlineLevel="0" collapsed="false">
      <c r="A19" s="50" t="s">
        <v>719</v>
      </c>
      <c r="B19" s="50" t="s">
        <v>750</v>
      </c>
      <c r="C19" s="50" t="s">
        <v>751</v>
      </c>
      <c r="D19" s="50" t="s">
        <v>61</v>
      </c>
      <c r="E19" s="50" t="s">
        <v>722</v>
      </c>
    </row>
    <row r="20" customFormat="false" ht="15" hidden="false" customHeight="false" outlineLevel="0" collapsed="false">
      <c r="A20" s="52" t="s">
        <v>719</v>
      </c>
      <c r="B20" s="52" t="s">
        <v>752</v>
      </c>
      <c r="C20" s="52" t="s">
        <v>753</v>
      </c>
      <c r="D20" s="52" t="s">
        <v>61</v>
      </c>
      <c r="E20" s="52" t="s">
        <v>722</v>
      </c>
    </row>
    <row r="21" customFormat="false" ht="15" hidden="false" customHeight="false" outlineLevel="0" collapsed="false">
      <c r="A21" s="50" t="s">
        <v>719</v>
      </c>
      <c r="B21" s="50" t="s">
        <v>754</v>
      </c>
      <c r="C21" s="50" t="s">
        <v>755</v>
      </c>
      <c r="D21" s="50" t="s">
        <v>61</v>
      </c>
      <c r="E21" s="50" t="s">
        <v>722</v>
      </c>
    </row>
    <row r="22" customFormat="false" ht="15" hidden="false" customHeight="false" outlineLevel="0" collapsed="false">
      <c r="A22" s="52" t="s">
        <v>719</v>
      </c>
      <c r="B22" s="52" t="s">
        <v>756</v>
      </c>
      <c r="C22" s="52" t="s">
        <v>757</v>
      </c>
      <c r="D22" s="52" t="s">
        <v>60</v>
      </c>
      <c r="E22" s="52" t="s">
        <v>722</v>
      </c>
    </row>
    <row r="23" customFormat="false" ht="15" hidden="false" customHeight="false" outlineLevel="0" collapsed="false">
      <c r="A23" s="50" t="s">
        <v>719</v>
      </c>
      <c r="B23" s="50" t="s">
        <v>758</v>
      </c>
      <c r="C23" s="50" t="s">
        <v>759</v>
      </c>
      <c r="D23" s="50" t="s">
        <v>61</v>
      </c>
      <c r="E23" s="50" t="s">
        <v>722</v>
      </c>
    </row>
    <row r="24" customFormat="false" ht="15" hidden="false" customHeight="false" outlineLevel="0" collapsed="false">
      <c r="A24" s="52" t="s">
        <v>719</v>
      </c>
      <c r="B24" s="52" t="s">
        <v>760</v>
      </c>
      <c r="C24" s="52" t="s">
        <v>761</v>
      </c>
      <c r="D24" s="52" t="s">
        <v>61</v>
      </c>
      <c r="E24" s="52" t="s">
        <v>722</v>
      </c>
    </row>
    <row r="25" customFormat="false" ht="23.85" hidden="false" customHeight="false" outlineLevel="0" collapsed="false">
      <c r="A25" s="50" t="s">
        <v>719</v>
      </c>
      <c r="B25" s="50" t="s">
        <v>762</v>
      </c>
      <c r="C25" s="50" t="s">
        <v>763</v>
      </c>
      <c r="D25" s="50" t="s">
        <v>258</v>
      </c>
      <c r="E25" s="50" t="s">
        <v>764</v>
      </c>
    </row>
    <row r="26" customFormat="false" ht="15" hidden="false" customHeight="false" outlineLevel="0" collapsed="false">
      <c r="A26" s="62" t="s">
        <v>765</v>
      </c>
      <c r="B26" s="62" t="s">
        <v>766</v>
      </c>
      <c r="C26" s="62" t="s">
        <v>767</v>
      </c>
      <c r="D26" s="62" t="s">
        <v>768</v>
      </c>
      <c r="E26" s="62" t="s">
        <v>769</v>
      </c>
    </row>
    <row r="27" customFormat="false" ht="15" hidden="false" customHeight="false" outlineLevel="0" collapsed="false">
      <c r="A27" s="50" t="s">
        <v>765</v>
      </c>
      <c r="B27" s="50" t="s">
        <v>770</v>
      </c>
      <c r="C27" s="50" t="s">
        <v>771</v>
      </c>
      <c r="D27" s="50" t="s">
        <v>768</v>
      </c>
      <c r="E27" s="50" t="s">
        <v>772</v>
      </c>
    </row>
    <row r="28" customFormat="false" ht="15" hidden="false" customHeight="false" outlineLevel="0" collapsed="false">
      <c r="A28" s="52" t="s">
        <v>765</v>
      </c>
      <c r="B28" s="52" t="s">
        <v>773</v>
      </c>
      <c r="C28" s="52" t="s">
        <v>774</v>
      </c>
      <c r="D28" s="52" t="s">
        <v>58</v>
      </c>
      <c r="E28" s="52" t="s">
        <v>775</v>
      </c>
    </row>
    <row r="29" customFormat="false" ht="15" hidden="false" customHeight="false" outlineLevel="0" collapsed="false">
      <c r="A29" s="50" t="s">
        <v>765</v>
      </c>
      <c r="B29" s="50" t="s">
        <v>776</v>
      </c>
      <c r="C29" s="50" t="s">
        <v>777</v>
      </c>
      <c r="D29" s="50" t="s">
        <v>58</v>
      </c>
      <c r="E29" s="50" t="s">
        <v>778</v>
      </c>
    </row>
    <row r="30" customFormat="false" ht="15" hidden="false" customHeight="false" outlineLevel="0" collapsed="false">
      <c r="A30" s="52" t="s">
        <v>765</v>
      </c>
      <c r="B30" s="52" t="s">
        <v>779</v>
      </c>
      <c r="C30" s="52" t="s">
        <v>780</v>
      </c>
      <c r="D30" s="52" t="s">
        <v>257</v>
      </c>
      <c r="E30" s="52" t="s">
        <v>778</v>
      </c>
    </row>
    <row r="31" customFormat="false" ht="15" hidden="false" customHeight="false" outlineLevel="0" collapsed="false">
      <c r="A31" s="50" t="s">
        <v>765</v>
      </c>
      <c r="B31" s="50" t="s">
        <v>781</v>
      </c>
      <c r="C31" s="50" t="s">
        <v>782</v>
      </c>
      <c r="D31" s="50" t="s">
        <v>58</v>
      </c>
      <c r="E31" s="50" t="s">
        <v>778</v>
      </c>
    </row>
    <row r="32" customFormat="false" ht="15" hidden="false" customHeight="false" outlineLevel="0" collapsed="false">
      <c r="A32" s="52" t="s">
        <v>765</v>
      </c>
      <c r="B32" s="52" t="s">
        <v>783</v>
      </c>
      <c r="C32" s="52" t="s">
        <v>784</v>
      </c>
      <c r="D32" s="52" t="s">
        <v>727</v>
      </c>
      <c r="E32" s="52" t="s">
        <v>778</v>
      </c>
    </row>
    <row r="33" customFormat="false" ht="15" hidden="false" customHeight="false" outlineLevel="0" collapsed="false">
      <c r="A33" s="50" t="s">
        <v>765</v>
      </c>
      <c r="B33" s="50" t="s">
        <v>785</v>
      </c>
      <c r="C33" s="50" t="s">
        <v>786</v>
      </c>
      <c r="D33" s="50" t="s">
        <v>58</v>
      </c>
      <c r="E33" s="50" t="s">
        <v>778</v>
      </c>
    </row>
    <row r="34" customFormat="false" ht="15" hidden="false" customHeight="false" outlineLevel="0" collapsed="false">
      <c r="A34" s="52" t="s">
        <v>765</v>
      </c>
      <c r="B34" s="52" t="s">
        <v>787</v>
      </c>
      <c r="C34" s="52" t="s">
        <v>788</v>
      </c>
      <c r="D34" s="52" t="s">
        <v>58</v>
      </c>
      <c r="E34" s="52" t="s">
        <v>778</v>
      </c>
    </row>
    <row r="35" customFormat="false" ht="15" hidden="false" customHeight="false" outlineLevel="0" collapsed="false">
      <c r="A35" s="50" t="s">
        <v>765</v>
      </c>
      <c r="B35" s="50" t="s">
        <v>789</v>
      </c>
      <c r="C35" s="50" t="s">
        <v>790</v>
      </c>
      <c r="D35" s="50" t="s">
        <v>58</v>
      </c>
      <c r="E35" s="50" t="s">
        <v>778</v>
      </c>
    </row>
    <row r="36" customFormat="false" ht="15" hidden="false" customHeight="false" outlineLevel="0" collapsed="false">
      <c r="A36" s="52" t="s">
        <v>765</v>
      </c>
      <c r="B36" s="52" t="s">
        <v>791</v>
      </c>
      <c r="C36" s="52" t="s">
        <v>792</v>
      </c>
      <c r="D36" s="52" t="s">
        <v>58</v>
      </c>
      <c r="E36" s="52" t="s">
        <v>778</v>
      </c>
    </row>
    <row r="37" customFormat="false" ht="15" hidden="false" customHeight="false" outlineLevel="0" collapsed="false">
      <c r="A37" s="50" t="s">
        <v>765</v>
      </c>
      <c r="B37" s="50" t="s">
        <v>793</v>
      </c>
      <c r="C37" s="50" t="s">
        <v>794</v>
      </c>
      <c r="D37" s="50" t="s">
        <v>58</v>
      </c>
      <c r="E37" s="50" t="s">
        <v>778</v>
      </c>
    </row>
    <row r="38" customFormat="false" ht="15" hidden="false" customHeight="false" outlineLevel="0" collapsed="false">
      <c r="A38" s="52" t="s">
        <v>765</v>
      </c>
      <c r="B38" s="52" t="s">
        <v>795</v>
      </c>
      <c r="C38" s="52" t="s">
        <v>796</v>
      </c>
      <c r="D38" s="52" t="s">
        <v>58</v>
      </c>
      <c r="E38" s="52" t="s">
        <v>778</v>
      </c>
    </row>
    <row r="39" customFormat="false" ht="15" hidden="false" customHeight="false" outlineLevel="0" collapsed="false">
      <c r="A39" s="50" t="s">
        <v>765</v>
      </c>
      <c r="B39" s="50" t="s">
        <v>797</v>
      </c>
      <c r="C39" s="50" t="s">
        <v>798</v>
      </c>
      <c r="D39" s="50" t="s">
        <v>58</v>
      </c>
      <c r="E39" s="50" t="s">
        <v>778</v>
      </c>
    </row>
    <row r="40" customFormat="false" ht="15" hidden="false" customHeight="false" outlineLevel="0" collapsed="false">
      <c r="A40" s="52" t="s">
        <v>765</v>
      </c>
      <c r="B40" s="52" t="s">
        <v>799</v>
      </c>
      <c r="C40" s="52" t="s">
        <v>800</v>
      </c>
      <c r="D40" s="52" t="s">
        <v>58</v>
      </c>
      <c r="E40" s="52" t="s">
        <v>801</v>
      </c>
    </row>
    <row r="41" customFormat="false" ht="15" hidden="false" customHeight="false" outlineLevel="0" collapsed="false">
      <c r="A41" s="50" t="s">
        <v>765</v>
      </c>
      <c r="B41" s="50" t="s">
        <v>802</v>
      </c>
      <c r="C41" s="50" t="s">
        <v>803</v>
      </c>
      <c r="D41" s="50" t="s">
        <v>58</v>
      </c>
      <c r="E41" s="50" t="s">
        <v>778</v>
      </c>
    </row>
    <row r="42" customFormat="false" ht="15" hidden="false" customHeight="false" outlineLevel="0" collapsed="false">
      <c r="A42" s="52" t="s">
        <v>765</v>
      </c>
      <c r="B42" s="52" t="s">
        <v>804</v>
      </c>
      <c r="C42" s="52" t="s">
        <v>805</v>
      </c>
      <c r="D42" s="52" t="s">
        <v>806</v>
      </c>
      <c r="E42" s="52" t="s">
        <v>778</v>
      </c>
    </row>
    <row r="43" customFormat="false" ht="15" hidden="false" customHeight="false" outlineLevel="0" collapsed="false">
      <c r="A43" s="50" t="s">
        <v>765</v>
      </c>
      <c r="B43" s="50" t="s">
        <v>807</v>
      </c>
      <c r="C43" s="50" t="s">
        <v>808</v>
      </c>
      <c r="D43" s="50" t="s">
        <v>58</v>
      </c>
      <c r="E43" s="50" t="s">
        <v>778</v>
      </c>
    </row>
    <row r="44" customFormat="false" ht="15" hidden="false" customHeight="false" outlineLevel="0" collapsed="false">
      <c r="A44" s="52" t="s">
        <v>765</v>
      </c>
      <c r="B44" s="52" t="s">
        <v>809</v>
      </c>
      <c r="C44" s="52" t="s">
        <v>810</v>
      </c>
      <c r="D44" s="52" t="s">
        <v>58</v>
      </c>
      <c r="E44" s="52" t="s">
        <v>778</v>
      </c>
    </row>
    <row r="45" customFormat="false" ht="15" hidden="false" customHeight="false" outlineLevel="0" collapsed="false">
      <c r="A45" s="50" t="s">
        <v>765</v>
      </c>
      <c r="B45" s="50" t="s">
        <v>811</v>
      </c>
      <c r="C45" s="50" t="s">
        <v>812</v>
      </c>
      <c r="D45" s="50" t="s">
        <v>58</v>
      </c>
      <c r="E45" s="50" t="s">
        <v>778</v>
      </c>
    </row>
    <row r="46" customFormat="false" ht="15" hidden="false" customHeight="false" outlineLevel="0" collapsed="false">
      <c r="A46" s="52" t="s">
        <v>765</v>
      </c>
      <c r="B46" s="52" t="s">
        <v>813</v>
      </c>
      <c r="C46" s="52" t="s">
        <v>814</v>
      </c>
      <c r="D46" s="52" t="s">
        <v>58</v>
      </c>
      <c r="E46" s="52" t="s">
        <v>778</v>
      </c>
    </row>
    <row r="47" customFormat="false" ht="15" hidden="false" customHeight="false" outlineLevel="0" collapsed="false">
      <c r="A47" s="50" t="s">
        <v>765</v>
      </c>
      <c r="B47" s="50" t="s">
        <v>815</v>
      </c>
      <c r="C47" s="50" t="s">
        <v>816</v>
      </c>
      <c r="D47" s="50" t="s">
        <v>58</v>
      </c>
      <c r="E47" s="50" t="s">
        <v>778</v>
      </c>
    </row>
    <row r="48" customFormat="false" ht="15" hidden="false" customHeight="false" outlineLevel="0" collapsed="false">
      <c r="A48" s="52" t="s">
        <v>765</v>
      </c>
      <c r="B48" s="52" t="s">
        <v>817</v>
      </c>
      <c r="C48" s="52" t="s">
        <v>818</v>
      </c>
      <c r="D48" s="52" t="s">
        <v>58</v>
      </c>
      <c r="E48" s="52" t="s">
        <v>778</v>
      </c>
    </row>
    <row r="49" customFormat="false" ht="15" hidden="false" customHeight="false" outlineLevel="0" collapsed="false">
      <c r="A49" s="50" t="s">
        <v>765</v>
      </c>
      <c r="B49" s="50" t="s">
        <v>819</v>
      </c>
      <c r="C49" s="50" t="s">
        <v>820</v>
      </c>
      <c r="D49" s="50" t="s">
        <v>821</v>
      </c>
      <c r="E49" s="50" t="s">
        <v>822</v>
      </c>
    </row>
    <row r="50" customFormat="false" ht="23.85" hidden="false" customHeight="false" outlineLevel="0" collapsed="false">
      <c r="A50" s="52" t="s">
        <v>765</v>
      </c>
      <c r="B50" s="52" t="s">
        <v>823</v>
      </c>
      <c r="C50" s="52" t="s">
        <v>824</v>
      </c>
      <c r="D50" s="52" t="s">
        <v>768</v>
      </c>
      <c r="E50" s="52" t="s">
        <v>825</v>
      </c>
    </row>
    <row r="51" customFormat="false" ht="15" hidden="false" customHeight="false" outlineLevel="0" collapsed="false">
      <c r="A51" s="50" t="s">
        <v>765</v>
      </c>
      <c r="B51" s="50" t="s">
        <v>826</v>
      </c>
      <c r="C51" s="50" t="s">
        <v>827</v>
      </c>
      <c r="D51" s="50" t="s">
        <v>768</v>
      </c>
      <c r="E51" s="50" t="s">
        <v>825</v>
      </c>
    </row>
    <row r="52" customFormat="false" ht="15" hidden="false" customHeight="false" outlineLevel="0" collapsed="false">
      <c r="A52" s="52" t="s">
        <v>765</v>
      </c>
      <c r="B52" s="52" t="s">
        <v>828</v>
      </c>
      <c r="C52" s="52" t="s">
        <v>829</v>
      </c>
      <c r="D52" s="52" t="s">
        <v>768</v>
      </c>
      <c r="E52" s="52" t="s">
        <v>825</v>
      </c>
    </row>
    <row r="53" customFormat="false" ht="15" hidden="false" customHeight="false" outlineLevel="0" collapsed="false">
      <c r="A53" s="50" t="s">
        <v>765</v>
      </c>
      <c r="B53" s="50" t="s">
        <v>830</v>
      </c>
      <c r="C53" s="50" t="s">
        <v>831</v>
      </c>
      <c r="D53" s="50" t="s">
        <v>768</v>
      </c>
      <c r="E53" s="50" t="s">
        <v>825</v>
      </c>
    </row>
    <row r="54" customFormat="false" ht="15" hidden="false" customHeight="false" outlineLevel="0" collapsed="false">
      <c r="A54" s="52" t="s">
        <v>765</v>
      </c>
      <c r="B54" s="52" t="s">
        <v>832</v>
      </c>
      <c r="C54" s="52" t="s">
        <v>833</v>
      </c>
      <c r="D54" s="52" t="s">
        <v>768</v>
      </c>
      <c r="E54" s="52" t="s">
        <v>825</v>
      </c>
    </row>
    <row r="55" customFormat="false" ht="15" hidden="false" customHeight="false" outlineLevel="0" collapsed="false">
      <c r="A55" s="50" t="s">
        <v>765</v>
      </c>
      <c r="B55" s="50" t="s">
        <v>834</v>
      </c>
      <c r="C55" s="50" t="s">
        <v>835</v>
      </c>
      <c r="D55" s="50" t="s">
        <v>768</v>
      </c>
      <c r="E55" s="50" t="s">
        <v>825</v>
      </c>
    </row>
    <row r="56" customFormat="false" ht="15" hidden="false" customHeight="false" outlineLevel="0" collapsed="false">
      <c r="A56" s="52" t="s">
        <v>765</v>
      </c>
      <c r="B56" s="52" t="s">
        <v>836</v>
      </c>
      <c r="C56" s="52" t="s">
        <v>837</v>
      </c>
      <c r="D56" s="52" t="s">
        <v>768</v>
      </c>
      <c r="E56" s="52" t="s">
        <v>838</v>
      </c>
    </row>
    <row r="57" customFormat="false" ht="15" hidden="false" customHeight="false" outlineLevel="0" collapsed="false">
      <c r="A57" s="50" t="s">
        <v>765</v>
      </c>
      <c r="B57" s="50" t="s">
        <v>839</v>
      </c>
      <c r="C57" s="50" t="s">
        <v>840</v>
      </c>
      <c r="D57" s="50" t="s">
        <v>58</v>
      </c>
      <c r="E57" s="50" t="s">
        <v>838</v>
      </c>
    </row>
    <row r="58" customFormat="false" ht="15" hidden="false" customHeight="false" outlineLevel="0" collapsed="false">
      <c r="A58" s="52" t="s">
        <v>765</v>
      </c>
      <c r="B58" s="52" t="s">
        <v>841</v>
      </c>
      <c r="C58" s="52" t="s">
        <v>842</v>
      </c>
      <c r="D58" s="52" t="s">
        <v>58</v>
      </c>
      <c r="E58" s="52" t="s">
        <v>838</v>
      </c>
    </row>
    <row r="59" customFormat="false" ht="15" hidden="false" customHeight="false" outlineLevel="0" collapsed="false">
      <c r="A59" s="50" t="s">
        <v>765</v>
      </c>
      <c r="B59" s="50" t="s">
        <v>843</v>
      </c>
      <c r="C59" s="50" t="s">
        <v>844</v>
      </c>
      <c r="D59" s="50" t="s">
        <v>845</v>
      </c>
      <c r="E59" s="50" t="s">
        <v>838</v>
      </c>
    </row>
    <row r="60" customFormat="false" ht="15" hidden="false" customHeight="false" outlineLevel="0" collapsed="false">
      <c r="A60" s="52" t="s">
        <v>765</v>
      </c>
      <c r="B60" s="52" t="s">
        <v>846</v>
      </c>
      <c r="C60" s="52" t="s">
        <v>847</v>
      </c>
      <c r="D60" s="52" t="s">
        <v>257</v>
      </c>
      <c r="E60" s="52" t="s">
        <v>838</v>
      </c>
    </row>
    <row r="61" customFormat="false" ht="15" hidden="false" customHeight="false" outlineLevel="0" collapsed="false">
      <c r="A61" s="50" t="s">
        <v>765</v>
      </c>
      <c r="B61" s="50" t="s">
        <v>848</v>
      </c>
      <c r="C61" s="50" t="s">
        <v>849</v>
      </c>
      <c r="D61" s="50" t="s">
        <v>257</v>
      </c>
      <c r="E61" s="50" t="s">
        <v>838</v>
      </c>
    </row>
    <row r="62" customFormat="false" ht="35.05" hidden="false" customHeight="false" outlineLevel="0" collapsed="false">
      <c r="A62" s="52" t="s">
        <v>765</v>
      </c>
      <c r="B62" s="52" t="s">
        <v>850</v>
      </c>
      <c r="C62" s="52" t="s">
        <v>851</v>
      </c>
      <c r="D62" s="52" t="s">
        <v>727</v>
      </c>
      <c r="E62" s="52" t="s">
        <v>838</v>
      </c>
    </row>
    <row r="63" customFormat="false" ht="15" hidden="false" customHeight="false" outlineLevel="0" collapsed="false">
      <c r="A63" s="50" t="s">
        <v>765</v>
      </c>
      <c r="B63" s="50" t="s">
        <v>852</v>
      </c>
      <c r="C63" s="50" t="s">
        <v>853</v>
      </c>
      <c r="D63" s="50" t="s">
        <v>258</v>
      </c>
      <c r="E63" s="50" t="s">
        <v>854</v>
      </c>
    </row>
    <row r="64" customFormat="false" ht="15" hidden="false" customHeight="false" outlineLevel="0" collapsed="false">
      <c r="A64" s="52" t="s">
        <v>765</v>
      </c>
      <c r="B64" s="52" t="s">
        <v>855</v>
      </c>
      <c r="C64" s="52" t="s">
        <v>856</v>
      </c>
      <c r="D64" s="52" t="s">
        <v>857</v>
      </c>
      <c r="E64" s="52" t="s">
        <v>858</v>
      </c>
    </row>
    <row r="65" customFormat="false" ht="15" hidden="false" customHeight="false" outlineLevel="0" collapsed="false">
      <c r="A65" s="50" t="s">
        <v>765</v>
      </c>
      <c r="B65" s="50" t="s">
        <v>859</v>
      </c>
      <c r="C65" s="50" t="s">
        <v>860</v>
      </c>
      <c r="D65" s="50" t="s">
        <v>58</v>
      </c>
      <c r="E65" s="50" t="s">
        <v>861</v>
      </c>
    </row>
    <row r="66" customFormat="false" ht="15" hidden="false" customHeight="false" outlineLevel="0" collapsed="false">
      <c r="A66" s="52" t="s">
        <v>765</v>
      </c>
      <c r="B66" s="52" t="s">
        <v>862</v>
      </c>
      <c r="C66" s="52" t="s">
        <v>863</v>
      </c>
      <c r="D66" s="52" t="s">
        <v>58</v>
      </c>
      <c r="E66" s="52" t="s">
        <v>861</v>
      </c>
    </row>
    <row r="67" customFormat="false" ht="35.05" hidden="false" customHeight="false" outlineLevel="0" collapsed="false">
      <c r="A67" s="50" t="s">
        <v>765</v>
      </c>
      <c r="B67" s="50" t="s">
        <v>864</v>
      </c>
      <c r="C67" s="50" t="s">
        <v>865</v>
      </c>
      <c r="D67" s="50" t="s">
        <v>58</v>
      </c>
      <c r="E67" s="50" t="s">
        <v>861</v>
      </c>
    </row>
    <row r="68" customFormat="false" ht="35.05" hidden="false" customHeight="false" outlineLevel="0" collapsed="false">
      <c r="A68" s="52" t="s">
        <v>765</v>
      </c>
      <c r="B68" s="52" t="s">
        <v>866</v>
      </c>
      <c r="C68" s="52" t="s">
        <v>867</v>
      </c>
      <c r="D68" s="52" t="s">
        <v>58</v>
      </c>
      <c r="E68" s="52" t="s">
        <v>861</v>
      </c>
    </row>
    <row r="69" customFormat="false" ht="15" hidden="false" customHeight="false" outlineLevel="0" collapsed="false">
      <c r="A69" s="50" t="s">
        <v>765</v>
      </c>
      <c r="B69" s="50" t="s">
        <v>868</v>
      </c>
      <c r="C69" s="50" t="s">
        <v>869</v>
      </c>
      <c r="D69" s="50" t="s">
        <v>61</v>
      </c>
      <c r="E69" s="50" t="s">
        <v>870</v>
      </c>
    </row>
    <row r="70" customFormat="false" ht="15" hidden="false" customHeight="false" outlineLevel="0" collapsed="false">
      <c r="A70" s="52" t="s">
        <v>765</v>
      </c>
      <c r="B70" s="52" t="s">
        <v>871</v>
      </c>
      <c r="C70" s="52" t="s">
        <v>872</v>
      </c>
      <c r="D70" s="52" t="s">
        <v>253</v>
      </c>
      <c r="E70" s="52" t="s">
        <v>858</v>
      </c>
    </row>
    <row r="71" customFormat="false" ht="23.85" hidden="false" customHeight="false" outlineLevel="0" collapsed="false">
      <c r="A71" s="50" t="s">
        <v>765</v>
      </c>
      <c r="B71" s="50" t="s">
        <v>873</v>
      </c>
      <c r="C71" s="50" t="s">
        <v>874</v>
      </c>
      <c r="D71" s="50" t="s">
        <v>845</v>
      </c>
      <c r="E71" s="50" t="s">
        <v>875</v>
      </c>
    </row>
    <row r="72" customFormat="false" ht="35.05" hidden="false" customHeight="false" outlineLevel="0" collapsed="false">
      <c r="A72" s="52" t="s">
        <v>765</v>
      </c>
      <c r="B72" s="52" t="s">
        <v>876</v>
      </c>
      <c r="C72" s="52" t="s">
        <v>877</v>
      </c>
      <c r="D72" s="52" t="s">
        <v>256</v>
      </c>
      <c r="E72" s="52" t="s">
        <v>875</v>
      </c>
    </row>
    <row r="73" customFormat="false" ht="35.05" hidden="false" customHeight="false" outlineLevel="0" collapsed="false">
      <c r="A73" s="50" t="s">
        <v>765</v>
      </c>
      <c r="B73" s="50" t="s">
        <v>878</v>
      </c>
      <c r="C73" s="50" t="s">
        <v>879</v>
      </c>
      <c r="D73" s="50" t="s">
        <v>845</v>
      </c>
      <c r="E73" s="50" t="s">
        <v>875</v>
      </c>
    </row>
    <row r="74" customFormat="false" ht="35.05" hidden="false" customHeight="false" outlineLevel="0" collapsed="false">
      <c r="A74" s="62" t="s">
        <v>880</v>
      </c>
      <c r="B74" s="62" t="s">
        <v>881</v>
      </c>
      <c r="C74" s="62" t="s">
        <v>882</v>
      </c>
      <c r="D74" s="62" t="s">
        <v>61</v>
      </c>
      <c r="E74" s="62" t="s">
        <v>883</v>
      </c>
    </row>
    <row r="75" customFormat="false" ht="23.85" hidden="false" customHeight="false" outlineLevel="0" collapsed="false">
      <c r="A75" s="50" t="s">
        <v>880</v>
      </c>
      <c r="B75" s="50" t="s">
        <v>884</v>
      </c>
      <c r="C75" s="50" t="s">
        <v>885</v>
      </c>
      <c r="D75" s="50" t="s">
        <v>61</v>
      </c>
      <c r="E75" s="50" t="s">
        <v>883</v>
      </c>
    </row>
    <row r="76" customFormat="false" ht="15" hidden="false" customHeight="false" outlineLevel="0" collapsed="false">
      <c r="A76" s="52" t="s">
        <v>880</v>
      </c>
      <c r="B76" s="52" t="s">
        <v>881</v>
      </c>
      <c r="C76" s="52" t="s">
        <v>886</v>
      </c>
      <c r="D76" s="52" t="s">
        <v>887</v>
      </c>
      <c r="E76" s="52" t="s">
        <v>883</v>
      </c>
    </row>
    <row r="77" customFormat="false" ht="15" hidden="false" customHeight="false" outlineLevel="0" collapsed="false">
      <c r="A77" s="50" t="s">
        <v>880</v>
      </c>
      <c r="B77" s="50" t="s">
        <v>888</v>
      </c>
      <c r="C77" s="50" t="s">
        <v>889</v>
      </c>
      <c r="D77" s="50" t="s">
        <v>887</v>
      </c>
      <c r="E77" s="50" t="s">
        <v>883</v>
      </c>
    </row>
    <row r="78" customFormat="false" ht="15" hidden="false" customHeight="false" outlineLevel="0" collapsed="false">
      <c r="A78" s="52" t="s">
        <v>880</v>
      </c>
      <c r="B78" s="52" t="s">
        <v>890</v>
      </c>
      <c r="C78" s="52" t="s">
        <v>891</v>
      </c>
      <c r="D78" s="52" t="s">
        <v>887</v>
      </c>
      <c r="E78" s="52" t="s">
        <v>883</v>
      </c>
    </row>
    <row r="79" customFormat="false" ht="15" hidden="false" customHeight="false" outlineLevel="0" collapsed="false">
      <c r="A79" s="50" t="s">
        <v>880</v>
      </c>
      <c r="B79" s="50" t="s">
        <v>892</v>
      </c>
      <c r="C79" s="50" t="s">
        <v>893</v>
      </c>
      <c r="D79" s="50" t="s">
        <v>887</v>
      </c>
      <c r="E79" s="50" t="s">
        <v>883</v>
      </c>
    </row>
    <row r="80" customFormat="false" ht="15" hidden="false" customHeight="false" outlineLevel="0" collapsed="false">
      <c r="A80" s="52" t="s">
        <v>880</v>
      </c>
      <c r="B80" s="52" t="s">
        <v>894</v>
      </c>
      <c r="C80" s="52" t="s">
        <v>895</v>
      </c>
      <c r="D80" s="52" t="s">
        <v>887</v>
      </c>
      <c r="E80" s="52" t="s">
        <v>883</v>
      </c>
    </row>
    <row r="81" customFormat="false" ht="15" hidden="false" customHeight="false" outlineLevel="0" collapsed="false">
      <c r="A81" s="50" t="s">
        <v>880</v>
      </c>
      <c r="B81" s="50" t="s">
        <v>896</v>
      </c>
      <c r="C81" s="50" t="s">
        <v>897</v>
      </c>
      <c r="D81" s="50" t="s">
        <v>898</v>
      </c>
      <c r="E81" s="50" t="s">
        <v>883</v>
      </c>
    </row>
    <row r="82" customFormat="false" ht="15" hidden="false" customHeight="false" outlineLevel="0" collapsed="false">
      <c r="A82" s="52" t="s">
        <v>880</v>
      </c>
      <c r="B82" s="52" t="s">
        <v>899</v>
      </c>
      <c r="C82" s="52" t="s">
        <v>900</v>
      </c>
      <c r="D82" s="52" t="s">
        <v>257</v>
      </c>
      <c r="E82" s="52" t="s">
        <v>883</v>
      </c>
    </row>
    <row r="83" customFormat="false" ht="15" hidden="false" customHeight="false" outlineLevel="0" collapsed="false">
      <c r="A83" s="50" t="s">
        <v>880</v>
      </c>
      <c r="B83" s="50" t="s">
        <v>901</v>
      </c>
      <c r="C83" s="50" t="s">
        <v>902</v>
      </c>
      <c r="D83" s="50" t="s">
        <v>257</v>
      </c>
      <c r="E83" s="50" t="s">
        <v>883</v>
      </c>
    </row>
    <row r="84" customFormat="false" ht="15" hidden="false" customHeight="false" outlineLevel="0" collapsed="false">
      <c r="A84" s="52" t="s">
        <v>880</v>
      </c>
      <c r="B84" s="52" t="s">
        <v>903</v>
      </c>
      <c r="C84" s="52" t="s">
        <v>904</v>
      </c>
      <c r="D84" s="52" t="s">
        <v>61</v>
      </c>
      <c r="E84" s="52" t="s">
        <v>883</v>
      </c>
    </row>
    <row r="85" customFormat="false" ht="23.85" hidden="false" customHeight="false" outlineLevel="0" collapsed="false">
      <c r="A85" s="50" t="s">
        <v>880</v>
      </c>
      <c r="B85" s="50" t="s">
        <v>905</v>
      </c>
      <c r="C85" s="50" t="s">
        <v>906</v>
      </c>
      <c r="D85" s="50" t="s">
        <v>907</v>
      </c>
      <c r="E85" s="50" t="s">
        <v>908</v>
      </c>
    </row>
    <row r="86" customFormat="false" ht="35.05" hidden="false" customHeight="false" outlineLevel="0" collapsed="false">
      <c r="A86" s="52" t="s">
        <v>880</v>
      </c>
      <c r="B86" s="52" t="s">
        <v>909</v>
      </c>
      <c r="C86" s="52" t="s">
        <v>910</v>
      </c>
      <c r="D86" s="52" t="s">
        <v>911</v>
      </c>
      <c r="E86" s="52" t="s">
        <v>883</v>
      </c>
    </row>
    <row r="87" customFormat="false" ht="35.05" hidden="false" customHeight="false" outlineLevel="0" collapsed="false">
      <c r="A87" s="50" t="s">
        <v>880</v>
      </c>
      <c r="B87" s="50" t="s">
        <v>912</v>
      </c>
      <c r="C87" s="50" t="s">
        <v>913</v>
      </c>
      <c r="D87" s="50" t="s">
        <v>914</v>
      </c>
      <c r="E87" s="50" t="s">
        <v>883</v>
      </c>
    </row>
    <row r="88" customFormat="false" ht="23.85" hidden="false" customHeight="false" outlineLevel="0" collapsed="false">
      <c r="A88" s="52" t="s">
        <v>880</v>
      </c>
      <c r="B88" s="52" t="s">
        <v>915</v>
      </c>
      <c r="C88" s="52" t="s">
        <v>916</v>
      </c>
      <c r="D88" s="52" t="s">
        <v>257</v>
      </c>
      <c r="E88" s="52" t="s">
        <v>883</v>
      </c>
    </row>
    <row r="89" customFormat="false" ht="23.85" hidden="false" customHeight="false" outlineLevel="0" collapsed="false">
      <c r="A89" s="50" t="s">
        <v>880</v>
      </c>
      <c r="B89" s="50" t="s">
        <v>917</v>
      </c>
      <c r="C89" s="50" t="s">
        <v>918</v>
      </c>
      <c r="D89" s="50" t="s">
        <v>257</v>
      </c>
      <c r="E89" s="50" t="s">
        <v>883</v>
      </c>
    </row>
    <row r="90" customFormat="false" ht="23.85" hidden="false" customHeight="false" outlineLevel="0" collapsed="false">
      <c r="A90" s="62" t="s">
        <v>919</v>
      </c>
      <c r="B90" s="62" t="s">
        <v>920</v>
      </c>
      <c r="C90" s="62" t="s">
        <v>921</v>
      </c>
      <c r="D90" s="62" t="s">
        <v>922</v>
      </c>
      <c r="E90" s="62" t="s">
        <v>722</v>
      </c>
    </row>
    <row r="91" customFormat="false" ht="15" hidden="false" customHeight="false" outlineLevel="0" collapsed="false">
      <c r="A91" s="50" t="s">
        <v>919</v>
      </c>
      <c r="B91" s="50" t="s">
        <v>923</v>
      </c>
      <c r="C91" s="50" t="s">
        <v>924</v>
      </c>
      <c r="D91" s="50" t="s">
        <v>922</v>
      </c>
      <c r="E91" s="50" t="s">
        <v>722</v>
      </c>
    </row>
    <row r="92" customFormat="false" ht="15" hidden="false" customHeight="false" outlineLevel="0" collapsed="false">
      <c r="A92" s="52" t="s">
        <v>919</v>
      </c>
      <c r="B92" s="52" t="s">
        <v>925</v>
      </c>
      <c r="C92" s="52" t="s">
        <v>926</v>
      </c>
      <c r="D92" s="52" t="s">
        <v>922</v>
      </c>
      <c r="E92" s="52" t="s">
        <v>722</v>
      </c>
    </row>
    <row r="93" customFormat="false" ht="15" hidden="false" customHeight="false" outlineLevel="0" collapsed="false">
      <c r="A93" s="50" t="s">
        <v>919</v>
      </c>
      <c r="B93" s="50" t="s">
        <v>927</v>
      </c>
      <c r="C93" s="50" t="s">
        <v>928</v>
      </c>
      <c r="D93" s="50" t="s">
        <v>922</v>
      </c>
      <c r="E93" s="50" t="s">
        <v>722</v>
      </c>
    </row>
    <row r="94" customFormat="false" ht="15" hidden="false" customHeight="false" outlineLevel="0" collapsed="false">
      <c r="A94" s="52" t="s">
        <v>919</v>
      </c>
      <c r="B94" s="52" t="s">
        <v>929</v>
      </c>
      <c r="C94" s="52" t="s">
        <v>930</v>
      </c>
      <c r="D94" s="52" t="s">
        <v>922</v>
      </c>
      <c r="E94" s="52" t="s">
        <v>722</v>
      </c>
    </row>
    <row r="95" customFormat="false" ht="15" hidden="false" customHeight="false" outlineLevel="0" collapsed="false">
      <c r="A95" s="50" t="s">
        <v>919</v>
      </c>
      <c r="B95" s="50" t="s">
        <v>931</v>
      </c>
      <c r="C95" s="50" t="s">
        <v>932</v>
      </c>
      <c r="D95" s="50" t="s">
        <v>922</v>
      </c>
      <c r="E95" s="50" t="s">
        <v>722</v>
      </c>
    </row>
    <row r="96" customFormat="false" ht="15" hidden="false" customHeight="false" outlineLevel="0" collapsed="false">
      <c r="A96" s="52" t="s">
        <v>919</v>
      </c>
      <c r="B96" s="52" t="s">
        <v>933</v>
      </c>
      <c r="C96" s="52" t="s">
        <v>934</v>
      </c>
      <c r="D96" s="52" t="s">
        <v>922</v>
      </c>
      <c r="E96" s="52" t="s">
        <v>722</v>
      </c>
    </row>
    <row r="97" customFormat="false" ht="35.05" hidden="false" customHeight="false" outlineLevel="0" collapsed="false">
      <c r="A97" s="50" t="s">
        <v>919</v>
      </c>
      <c r="B97" s="50" t="s">
        <v>935</v>
      </c>
      <c r="C97" s="50" t="s">
        <v>936</v>
      </c>
      <c r="D97" s="50" t="s">
        <v>922</v>
      </c>
      <c r="E97" s="50" t="s">
        <v>722</v>
      </c>
    </row>
    <row r="98" customFormat="false" ht="15" hidden="false" customHeight="false" outlineLevel="0" collapsed="false">
      <c r="A98" s="52" t="s">
        <v>919</v>
      </c>
      <c r="B98" s="52" t="s">
        <v>937</v>
      </c>
      <c r="C98" s="52" t="s">
        <v>938</v>
      </c>
      <c r="D98" s="52" t="s">
        <v>939</v>
      </c>
      <c r="E98" s="52" t="s">
        <v>940</v>
      </c>
    </row>
    <row r="99" customFormat="false" ht="15" hidden="false" customHeight="false" outlineLevel="0" collapsed="false">
      <c r="A99" s="50" t="s">
        <v>919</v>
      </c>
      <c r="B99" s="50" t="s">
        <v>941</v>
      </c>
      <c r="C99" s="50" t="s">
        <v>942</v>
      </c>
      <c r="D99" s="50" t="s">
        <v>939</v>
      </c>
      <c r="E99" s="50" t="s">
        <v>940</v>
      </c>
    </row>
    <row r="100" customFormat="false" ht="15" hidden="false" customHeight="false" outlineLevel="0" collapsed="false">
      <c r="A100" s="52" t="s">
        <v>919</v>
      </c>
      <c r="B100" s="52" t="s">
        <v>943</v>
      </c>
      <c r="C100" s="52" t="s">
        <v>944</v>
      </c>
      <c r="D100" s="52" t="s">
        <v>939</v>
      </c>
      <c r="E100" s="52" t="s">
        <v>940</v>
      </c>
    </row>
    <row r="101" customFormat="false" ht="15" hidden="false" customHeight="false" outlineLevel="0" collapsed="false">
      <c r="A101" s="50" t="s">
        <v>919</v>
      </c>
      <c r="B101" s="50" t="s">
        <v>945</v>
      </c>
      <c r="C101" s="50" t="s">
        <v>946</v>
      </c>
      <c r="D101" s="50" t="s">
        <v>939</v>
      </c>
      <c r="E101" s="50" t="s">
        <v>940</v>
      </c>
    </row>
    <row r="102" customFormat="false" ht="35.05" hidden="false" customHeight="false" outlineLevel="0" collapsed="false">
      <c r="A102" s="52" t="s">
        <v>919</v>
      </c>
      <c r="B102" s="52" t="s">
        <v>947</v>
      </c>
      <c r="C102" s="52" t="s">
        <v>948</v>
      </c>
      <c r="D102" s="52" t="s">
        <v>949</v>
      </c>
      <c r="E102" s="52" t="s">
        <v>950</v>
      </c>
    </row>
    <row r="103" customFormat="false" ht="15" hidden="false" customHeight="false" outlineLevel="0" collapsed="false">
      <c r="A103" s="50" t="s">
        <v>919</v>
      </c>
      <c r="B103" s="50" t="s">
        <v>951</v>
      </c>
      <c r="C103" s="50" t="s">
        <v>952</v>
      </c>
      <c r="D103" s="50" t="s">
        <v>953</v>
      </c>
      <c r="E103" s="50" t="s">
        <v>954</v>
      </c>
    </row>
    <row r="104" customFormat="false" ht="15" hidden="false" customHeight="false" outlineLevel="0" collapsed="false">
      <c r="A104" s="52" t="s">
        <v>919</v>
      </c>
      <c r="B104" s="52" t="s">
        <v>955</v>
      </c>
      <c r="C104" s="52" t="s">
        <v>956</v>
      </c>
      <c r="D104" s="52" t="s">
        <v>957</v>
      </c>
      <c r="E104" s="52" t="s">
        <v>958</v>
      </c>
    </row>
    <row r="105" customFormat="false" ht="15" hidden="false" customHeight="false" outlineLevel="0" collapsed="false">
      <c r="A105" s="50" t="s">
        <v>919</v>
      </c>
      <c r="B105" s="50" t="s">
        <v>959</v>
      </c>
      <c r="C105" s="50" t="s">
        <v>960</v>
      </c>
      <c r="D105" s="50" t="s">
        <v>957</v>
      </c>
      <c r="E105" s="50" t="s">
        <v>961</v>
      </c>
    </row>
    <row r="106" customFormat="false" ht="15" hidden="false" customHeight="false" outlineLevel="0" collapsed="false">
      <c r="A106" s="52" t="s">
        <v>919</v>
      </c>
      <c r="B106" s="52" t="s">
        <v>962</v>
      </c>
      <c r="C106" s="52" t="s">
        <v>963</v>
      </c>
      <c r="D106" s="52" t="s">
        <v>957</v>
      </c>
      <c r="E106" s="52" t="s">
        <v>961</v>
      </c>
    </row>
    <row r="107" customFormat="false" ht="23.85" hidden="false" customHeight="false" outlineLevel="0" collapsed="false">
      <c r="A107" s="62" t="s">
        <v>964</v>
      </c>
      <c r="B107" s="62" t="s">
        <v>965</v>
      </c>
      <c r="C107" s="62" t="s">
        <v>966</v>
      </c>
      <c r="D107" s="62" t="s">
        <v>967</v>
      </c>
      <c r="E107" s="62" t="s">
        <v>968</v>
      </c>
    </row>
    <row r="108" customFormat="false" ht="15" hidden="false" customHeight="false" outlineLevel="0" collapsed="false">
      <c r="A108" s="52" t="s">
        <v>964</v>
      </c>
      <c r="B108" s="52" t="s">
        <v>969</v>
      </c>
      <c r="C108" s="52" t="s">
        <v>970</v>
      </c>
      <c r="D108" s="52" t="s">
        <v>967</v>
      </c>
      <c r="E108" s="52" t="s">
        <v>968</v>
      </c>
    </row>
    <row r="109" customFormat="false" ht="23.85" hidden="false" customHeight="false" outlineLevel="0" collapsed="false">
      <c r="A109" s="50" t="s">
        <v>964</v>
      </c>
      <c r="B109" s="50" t="s">
        <v>971</v>
      </c>
      <c r="C109" s="50" t="s">
        <v>972</v>
      </c>
      <c r="D109" s="50" t="s">
        <v>973</v>
      </c>
      <c r="E109" s="50" t="s">
        <v>968</v>
      </c>
    </row>
    <row r="110" customFormat="false" ht="15" hidden="false" customHeight="false" outlineLevel="0" collapsed="false">
      <c r="A110" s="52" t="s">
        <v>964</v>
      </c>
      <c r="B110" s="52" t="s">
        <v>974</v>
      </c>
      <c r="C110" s="52" t="s">
        <v>975</v>
      </c>
      <c r="D110" s="52" t="s">
        <v>258</v>
      </c>
      <c r="E110" s="52" t="s">
        <v>968</v>
      </c>
    </row>
    <row r="111" customFormat="false" ht="15" hidden="false" customHeight="false" outlineLevel="0" collapsed="false">
      <c r="A111" s="50" t="s">
        <v>964</v>
      </c>
      <c r="B111" s="50" t="s">
        <v>976</v>
      </c>
      <c r="C111" s="50" t="s">
        <v>977</v>
      </c>
      <c r="D111" s="50" t="s">
        <v>59</v>
      </c>
      <c r="E111" s="50" t="s">
        <v>978</v>
      </c>
    </row>
    <row r="112" customFormat="false" ht="15" hidden="false" customHeight="false" outlineLevel="0" collapsed="false">
      <c r="A112" s="52" t="s">
        <v>964</v>
      </c>
      <c r="B112" s="52" t="s">
        <v>979</v>
      </c>
      <c r="C112" s="52" t="s">
        <v>980</v>
      </c>
      <c r="D112" s="52" t="s">
        <v>59</v>
      </c>
      <c r="E112" s="52" t="s">
        <v>978</v>
      </c>
    </row>
    <row r="113" customFormat="false" ht="15" hidden="false" customHeight="false" outlineLevel="0" collapsed="false">
      <c r="A113" s="50" t="s">
        <v>964</v>
      </c>
      <c r="B113" s="50" t="s">
        <v>981</v>
      </c>
      <c r="C113" s="50" t="s">
        <v>982</v>
      </c>
      <c r="D113" s="50" t="s">
        <v>983</v>
      </c>
      <c r="E113" s="50" t="s">
        <v>984</v>
      </c>
    </row>
    <row r="114" customFormat="false" ht="15" hidden="false" customHeight="false" outlineLevel="0" collapsed="false">
      <c r="A114" s="52" t="s">
        <v>964</v>
      </c>
      <c r="B114" s="52" t="s">
        <v>985</v>
      </c>
      <c r="C114" s="52" t="s">
        <v>986</v>
      </c>
      <c r="D114" s="52" t="s">
        <v>983</v>
      </c>
      <c r="E114" s="52" t="s">
        <v>984</v>
      </c>
    </row>
    <row r="115" customFormat="false" ht="15" hidden="false" customHeight="false" outlineLevel="0" collapsed="false">
      <c r="A115" s="50" t="s">
        <v>964</v>
      </c>
      <c r="B115" s="50" t="s">
        <v>987</v>
      </c>
      <c r="C115" s="50" t="s">
        <v>988</v>
      </c>
      <c r="D115" s="50" t="s">
        <v>983</v>
      </c>
      <c r="E115" s="50" t="s">
        <v>984</v>
      </c>
    </row>
    <row r="116" customFormat="false" ht="15" hidden="false" customHeight="false" outlineLevel="0" collapsed="false">
      <c r="A116" s="52" t="s">
        <v>964</v>
      </c>
      <c r="B116" s="52" t="s">
        <v>989</v>
      </c>
      <c r="C116" s="52" t="s">
        <v>990</v>
      </c>
      <c r="D116" s="52" t="s">
        <v>991</v>
      </c>
      <c r="E116" s="52" t="s">
        <v>992</v>
      </c>
    </row>
    <row r="117" customFormat="false" ht="15" hidden="false" customHeight="false" outlineLevel="0" collapsed="false">
      <c r="A117" s="50" t="s">
        <v>964</v>
      </c>
      <c r="B117" s="50" t="s">
        <v>993</v>
      </c>
      <c r="C117" s="50" t="s">
        <v>994</v>
      </c>
      <c r="D117" s="50" t="s">
        <v>991</v>
      </c>
      <c r="E117" s="50" t="s">
        <v>992</v>
      </c>
    </row>
    <row r="118" customFormat="false" ht="15" hidden="false" customHeight="false" outlineLevel="0" collapsed="false">
      <c r="A118" s="52" t="s">
        <v>964</v>
      </c>
      <c r="B118" s="52" t="s">
        <v>995</v>
      </c>
      <c r="C118" s="52" t="s">
        <v>996</v>
      </c>
      <c r="D118" s="52" t="s">
        <v>60</v>
      </c>
      <c r="E118" s="52" t="s">
        <v>992</v>
      </c>
    </row>
    <row r="119" customFormat="false" ht="15" hidden="false" customHeight="false" outlineLevel="0" collapsed="false">
      <c r="A119" s="50" t="s">
        <v>964</v>
      </c>
      <c r="B119" s="50" t="s">
        <v>997</v>
      </c>
      <c r="C119" s="50" t="s">
        <v>998</v>
      </c>
      <c r="D119" s="50" t="s">
        <v>60</v>
      </c>
      <c r="E119" s="50" t="s">
        <v>999</v>
      </c>
    </row>
    <row r="120" customFormat="false" ht="15" hidden="false" customHeight="false" outlineLevel="0" collapsed="false">
      <c r="A120" s="52" t="s">
        <v>964</v>
      </c>
      <c r="B120" s="52" t="s">
        <v>997</v>
      </c>
      <c r="C120" s="52" t="s">
        <v>1000</v>
      </c>
      <c r="D120" s="52" t="s">
        <v>61</v>
      </c>
      <c r="E120" s="52" t="s">
        <v>999</v>
      </c>
    </row>
    <row r="121" customFormat="false" ht="15" hidden="false" customHeight="false" outlineLevel="0" collapsed="false">
      <c r="A121" s="50" t="s">
        <v>964</v>
      </c>
      <c r="B121" s="50" t="s">
        <v>1001</v>
      </c>
      <c r="C121" s="50" t="s">
        <v>1002</v>
      </c>
      <c r="D121" s="50" t="s">
        <v>60</v>
      </c>
      <c r="E121" s="50" t="s">
        <v>999</v>
      </c>
    </row>
    <row r="122" customFormat="false" ht="15" hidden="false" customHeight="false" outlineLevel="0" collapsed="false">
      <c r="A122" s="52" t="s">
        <v>964</v>
      </c>
      <c r="B122" s="52" t="s">
        <v>1003</v>
      </c>
      <c r="C122" s="52" t="s">
        <v>1004</v>
      </c>
      <c r="D122" s="52" t="s">
        <v>60</v>
      </c>
      <c r="E122" s="52" t="s">
        <v>999</v>
      </c>
    </row>
    <row r="123" customFormat="false" ht="15" hidden="false" customHeight="false" outlineLevel="0" collapsed="false">
      <c r="A123" s="50" t="s">
        <v>964</v>
      </c>
      <c r="B123" s="50" t="s">
        <v>1003</v>
      </c>
      <c r="C123" s="50" t="s">
        <v>1005</v>
      </c>
      <c r="D123" s="50" t="s">
        <v>61</v>
      </c>
      <c r="E123" s="50" t="s">
        <v>999</v>
      </c>
    </row>
    <row r="124" customFormat="false" ht="15" hidden="false" customHeight="false" outlineLevel="0" collapsed="false">
      <c r="A124" s="52" t="s">
        <v>964</v>
      </c>
      <c r="B124" s="52" t="s">
        <v>1006</v>
      </c>
      <c r="C124" s="52" t="s">
        <v>1007</v>
      </c>
      <c r="D124" s="52" t="s">
        <v>60</v>
      </c>
      <c r="E124" s="52" t="s">
        <v>999</v>
      </c>
    </row>
    <row r="125" customFormat="false" ht="15" hidden="false" customHeight="false" outlineLevel="0" collapsed="false">
      <c r="A125" s="50" t="s">
        <v>964</v>
      </c>
      <c r="B125" s="50" t="s">
        <v>1008</v>
      </c>
      <c r="C125" s="50" t="s">
        <v>1009</v>
      </c>
      <c r="D125" s="50" t="s">
        <v>58</v>
      </c>
      <c r="E125" s="50" t="s">
        <v>1010</v>
      </c>
    </row>
    <row r="126" customFormat="false" ht="35.05" hidden="false" customHeight="false" outlineLevel="0" collapsed="false">
      <c r="A126" s="52" t="s">
        <v>964</v>
      </c>
      <c r="B126" s="52" t="s">
        <v>1011</v>
      </c>
      <c r="C126" s="52" t="s">
        <v>1012</v>
      </c>
      <c r="D126" s="52" t="s">
        <v>258</v>
      </c>
      <c r="E126" s="52" t="s">
        <v>1013</v>
      </c>
    </row>
    <row r="127" customFormat="false" ht="15" hidden="false" customHeight="false" outlineLevel="0" collapsed="false">
      <c r="A127" s="50" t="s">
        <v>964</v>
      </c>
      <c r="B127" s="50" t="s">
        <v>1014</v>
      </c>
      <c r="C127" s="50" t="s">
        <v>1015</v>
      </c>
      <c r="D127" s="50" t="s">
        <v>258</v>
      </c>
      <c r="E127" s="50" t="s">
        <v>1013</v>
      </c>
    </row>
    <row r="128" customFormat="false" ht="15" hidden="false" customHeight="false" outlineLevel="0" collapsed="false">
      <c r="A128" s="52" t="s">
        <v>964</v>
      </c>
      <c r="B128" s="52" t="s">
        <v>1016</v>
      </c>
      <c r="C128" s="52" t="s">
        <v>1017</v>
      </c>
      <c r="D128" s="52" t="s">
        <v>258</v>
      </c>
      <c r="E128" s="52" t="s">
        <v>1018</v>
      </c>
    </row>
    <row r="129" customFormat="false" ht="15" hidden="false" customHeight="false" outlineLevel="0" collapsed="false">
      <c r="A129" s="62" t="s">
        <v>599</v>
      </c>
      <c r="B129" s="62" t="s">
        <v>1019</v>
      </c>
      <c r="C129" s="62" t="s">
        <v>1020</v>
      </c>
      <c r="D129" s="62" t="s">
        <v>710</v>
      </c>
      <c r="E129" s="62" t="s">
        <v>1021</v>
      </c>
    </row>
    <row r="130" customFormat="false" ht="15" hidden="false" customHeight="false" outlineLevel="0" collapsed="false">
      <c r="A130" s="52" t="s">
        <v>599</v>
      </c>
      <c r="B130" s="52" t="s">
        <v>1019</v>
      </c>
      <c r="C130" s="52" t="s">
        <v>1022</v>
      </c>
      <c r="D130" s="52" t="s">
        <v>254</v>
      </c>
      <c r="E130" s="52" t="s">
        <v>1021</v>
      </c>
    </row>
    <row r="131" customFormat="false" ht="15" hidden="false" customHeight="false" outlineLevel="0" collapsed="false">
      <c r="A131" s="50" t="s">
        <v>599</v>
      </c>
      <c r="B131" s="50" t="s">
        <v>1019</v>
      </c>
      <c r="C131" s="50" t="s">
        <v>1023</v>
      </c>
      <c r="D131" s="50" t="s">
        <v>255</v>
      </c>
      <c r="E131" s="50" t="s">
        <v>1021</v>
      </c>
    </row>
    <row r="132" customFormat="false" ht="15" hidden="false" customHeight="false" outlineLevel="0" collapsed="false">
      <c r="A132" s="52" t="s">
        <v>599</v>
      </c>
      <c r="B132" s="52" t="s">
        <v>1019</v>
      </c>
      <c r="C132" s="52" t="s">
        <v>1024</v>
      </c>
      <c r="D132" s="52" t="s">
        <v>256</v>
      </c>
      <c r="E132" s="52" t="s">
        <v>1021</v>
      </c>
    </row>
    <row r="133" customFormat="false" ht="15" hidden="false" customHeight="false" outlineLevel="0" collapsed="false">
      <c r="A133" s="50" t="s">
        <v>599</v>
      </c>
      <c r="B133" s="50" t="s">
        <v>1019</v>
      </c>
      <c r="C133" s="50" t="s">
        <v>1025</v>
      </c>
      <c r="D133" s="50" t="s">
        <v>257</v>
      </c>
      <c r="E133" s="50" t="s">
        <v>1021</v>
      </c>
    </row>
    <row r="134" customFormat="false" ht="15" hidden="false" customHeight="false" outlineLevel="0" collapsed="false">
      <c r="A134" s="52" t="s">
        <v>599</v>
      </c>
      <c r="B134" s="52" t="s">
        <v>1026</v>
      </c>
      <c r="C134" s="52" t="s">
        <v>1027</v>
      </c>
      <c r="D134" s="52" t="s">
        <v>1028</v>
      </c>
      <c r="E134" s="52" t="s">
        <v>1021</v>
      </c>
    </row>
    <row r="135" customFormat="false" ht="15" hidden="false" customHeight="false" outlineLevel="0" collapsed="false">
      <c r="A135" s="50" t="s">
        <v>599</v>
      </c>
      <c r="B135" s="50" t="s">
        <v>1029</v>
      </c>
      <c r="C135" s="50" t="s">
        <v>1030</v>
      </c>
      <c r="D135" s="50" t="s">
        <v>257</v>
      </c>
      <c r="E135" s="50" t="s">
        <v>1021</v>
      </c>
    </row>
    <row r="136" customFormat="false" ht="15" hidden="false" customHeight="false" outlineLevel="0" collapsed="false">
      <c r="A136" s="52" t="s">
        <v>599</v>
      </c>
      <c r="B136" s="52" t="s">
        <v>1031</v>
      </c>
      <c r="C136" s="52" t="s">
        <v>1032</v>
      </c>
      <c r="D136" s="52" t="s">
        <v>1033</v>
      </c>
      <c r="E136" s="52" t="s">
        <v>1021</v>
      </c>
    </row>
    <row r="137" customFormat="false" ht="23.85" hidden="false" customHeight="false" outlineLevel="0" collapsed="false">
      <c r="A137" s="62" t="s">
        <v>1034</v>
      </c>
      <c r="B137" s="62" t="s">
        <v>1035</v>
      </c>
      <c r="C137" s="62" t="s">
        <v>1036</v>
      </c>
      <c r="D137" s="62" t="s">
        <v>1037</v>
      </c>
      <c r="E137" s="62" t="s">
        <v>1038</v>
      </c>
    </row>
    <row r="138" customFormat="false" ht="23.85" hidden="false" customHeight="false" outlineLevel="0" collapsed="false">
      <c r="A138" s="52" t="s">
        <v>1034</v>
      </c>
      <c r="B138" s="52" t="s">
        <v>1039</v>
      </c>
      <c r="C138" s="52" t="s">
        <v>1040</v>
      </c>
      <c r="D138" s="52" t="s">
        <v>256</v>
      </c>
      <c r="E138" s="52" t="s">
        <v>883</v>
      </c>
    </row>
    <row r="139" customFormat="false" ht="35.05" hidden="false" customHeight="false" outlineLevel="0" collapsed="false">
      <c r="A139" s="50" t="s">
        <v>1034</v>
      </c>
      <c r="B139" s="50" t="s">
        <v>1041</v>
      </c>
      <c r="C139" s="50" t="s">
        <v>1042</v>
      </c>
      <c r="D139" s="50" t="s">
        <v>1043</v>
      </c>
      <c r="E139" s="50" t="s">
        <v>1044</v>
      </c>
    </row>
    <row r="140" customFormat="false" ht="23.85" hidden="false" customHeight="false" outlineLevel="0" collapsed="false">
      <c r="A140" s="52" t="s">
        <v>1034</v>
      </c>
      <c r="B140" s="52" t="s">
        <v>961</v>
      </c>
      <c r="C140" s="52" t="s">
        <v>1045</v>
      </c>
      <c r="D140" s="52" t="s">
        <v>1046</v>
      </c>
      <c r="E140" s="52" t="s">
        <v>1038</v>
      </c>
    </row>
    <row r="141" customFormat="false" ht="23.85" hidden="false" customHeight="false" outlineLevel="0" collapsed="false">
      <c r="A141" s="50" t="s">
        <v>1034</v>
      </c>
      <c r="B141" s="50" t="s">
        <v>1047</v>
      </c>
      <c r="C141" s="50" t="s">
        <v>1048</v>
      </c>
      <c r="D141" s="50" t="s">
        <v>1049</v>
      </c>
      <c r="E141" s="50" t="s">
        <v>958</v>
      </c>
    </row>
    <row r="142" customFormat="false" ht="23.85" hidden="false" customHeight="false" outlineLevel="0" collapsed="false">
      <c r="A142" s="52" t="s">
        <v>1034</v>
      </c>
      <c r="B142" s="52" t="s">
        <v>1050</v>
      </c>
      <c r="C142" s="52" t="s">
        <v>1051</v>
      </c>
      <c r="D142" s="52" t="s">
        <v>1052</v>
      </c>
      <c r="E142" s="52" t="s">
        <v>1038</v>
      </c>
    </row>
    <row r="143" customFormat="false" ht="15" hidden="false" customHeight="false" outlineLevel="0" collapsed="false">
      <c r="A143" s="50" t="s">
        <v>1034</v>
      </c>
      <c r="B143" s="50" t="s">
        <v>1053</v>
      </c>
      <c r="C143" s="50" t="s">
        <v>1054</v>
      </c>
      <c r="D143" s="50" t="s">
        <v>1055</v>
      </c>
      <c r="E143" s="50" t="s">
        <v>883</v>
      </c>
    </row>
  </sheetData>
  <autoFilter ref="A4:E14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56"/>
    <col collapsed="false" customWidth="true" hidden="false" outlineLevel="0" max="4" min="4" style="0" width="48"/>
  </cols>
  <sheetData>
    <row r="1" customFormat="false" ht="17.35" hidden="false" customHeight="false" outlineLevel="0" collapsed="false">
      <c r="A1" s="1" t="s">
        <v>1056</v>
      </c>
    </row>
    <row r="2" customFormat="false" ht="15" hidden="false" customHeight="false" outlineLevel="0" collapsed="false">
      <c r="A2" s="8" t="s">
        <v>1057</v>
      </c>
    </row>
    <row r="4" customFormat="false" ht="15" hidden="false" customHeight="false" outlineLevel="0" collapsed="false">
      <c r="A4" s="61" t="s">
        <v>159</v>
      </c>
      <c r="B4" s="61" t="s">
        <v>1058</v>
      </c>
      <c r="C4" s="61" t="s">
        <v>1059</v>
      </c>
      <c r="D4" s="61" t="s">
        <v>1060</v>
      </c>
    </row>
    <row r="5" customFormat="false" ht="35.05" hidden="false" customHeight="false" outlineLevel="0" collapsed="false">
      <c r="A5" s="50" t="s">
        <v>1061</v>
      </c>
      <c r="B5" s="50" t="s">
        <v>1062</v>
      </c>
      <c r="C5" s="50" t="s">
        <v>1063</v>
      </c>
      <c r="D5" s="50" t="s">
        <v>1064</v>
      </c>
    </row>
    <row r="6" customFormat="false" ht="23.85" hidden="false" customHeight="false" outlineLevel="0" collapsed="false">
      <c r="A6" s="52" t="s">
        <v>1065</v>
      </c>
      <c r="B6" s="52" t="s">
        <v>1066</v>
      </c>
      <c r="C6" s="52" t="s">
        <v>1067</v>
      </c>
      <c r="D6" s="52" t="s">
        <v>1068</v>
      </c>
    </row>
    <row r="7" customFormat="false" ht="23.85" hidden="false" customHeight="false" outlineLevel="0" collapsed="false">
      <c r="A7" s="50" t="s">
        <v>722</v>
      </c>
      <c r="B7" s="50" t="s">
        <v>1069</v>
      </c>
      <c r="C7" s="50" t="s">
        <v>1070</v>
      </c>
      <c r="D7" s="50" t="s">
        <v>1071</v>
      </c>
    </row>
    <row r="8" customFormat="false" ht="23.85" hidden="false" customHeight="false" outlineLevel="0" collapsed="false">
      <c r="A8" s="52" t="s">
        <v>883</v>
      </c>
      <c r="B8" s="52" t="s">
        <v>1072</v>
      </c>
      <c r="C8" s="52" t="s">
        <v>1073</v>
      </c>
      <c r="D8" s="52" t="s">
        <v>1074</v>
      </c>
    </row>
    <row r="9" customFormat="false" ht="35.05" hidden="false" customHeight="false" outlineLevel="0" collapsed="false">
      <c r="A9" s="50" t="s">
        <v>1075</v>
      </c>
      <c r="B9" s="50" t="s">
        <v>1076</v>
      </c>
      <c r="C9" s="50" t="s">
        <v>1077</v>
      </c>
      <c r="D9" s="50" t="s">
        <v>1078</v>
      </c>
    </row>
    <row r="10" customFormat="false" ht="23.85" hidden="false" customHeight="false" outlineLevel="0" collapsed="false">
      <c r="A10" s="52" t="s">
        <v>1079</v>
      </c>
      <c r="B10" s="52" t="s">
        <v>1076</v>
      </c>
      <c r="C10" s="52" t="s">
        <v>1080</v>
      </c>
      <c r="D10" s="52" t="s">
        <v>1081</v>
      </c>
    </row>
    <row r="11" customFormat="false" ht="35.05" hidden="false" customHeight="false" outlineLevel="0" collapsed="false">
      <c r="A11" s="50" t="s">
        <v>1082</v>
      </c>
      <c r="B11" s="50" t="s">
        <v>1083</v>
      </c>
      <c r="C11" s="50" t="s">
        <v>1084</v>
      </c>
      <c r="D11" s="50" t="s">
        <v>1085</v>
      </c>
    </row>
    <row r="12" customFormat="false" ht="23.85" hidden="false" customHeight="false" outlineLevel="0" collapsed="false">
      <c r="A12" s="52" t="s">
        <v>999</v>
      </c>
      <c r="B12" s="52" t="s">
        <v>1086</v>
      </c>
      <c r="C12" s="52" t="s">
        <v>1087</v>
      </c>
      <c r="D12" s="52" t="s">
        <v>1088</v>
      </c>
    </row>
    <row r="13" customFormat="false" ht="23.85" hidden="false" customHeight="false" outlineLevel="0" collapsed="false">
      <c r="A13" s="50" t="s">
        <v>1089</v>
      </c>
      <c r="B13" s="50" t="s">
        <v>1090</v>
      </c>
      <c r="C13" s="50" t="s">
        <v>1091</v>
      </c>
      <c r="D13" s="50" t="s">
        <v>1092</v>
      </c>
    </row>
    <row r="14" customFormat="false" ht="23.85" hidden="false" customHeight="false" outlineLevel="0" collapsed="false">
      <c r="A14" s="52" t="s">
        <v>1093</v>
      </c>
      <c r="B14" s="52" t="s">
        <v>1094</v>
      </c>
      <c r="C14" s="52" t="s">
        <v>1095</v>
      </c>
      <c r="D14" s="52" t="s">
        <v>1096</v>
      </c>
    </row>
    <row r="15" customFormat="false" ht="15" hidden="false" customHeight="false" outlineLevel="0" collapsed="false">
      <c r="A15" s="50" t="s">
        <v>984</v>
      </c>
      <c r="B15" s="50" t="s">
        <v>1097</v>
      </c>
      <c r="C15" s="50" t="s">
        <v>1098</v>
      </c>
      <c r="D15" s="50" t="s">
        <v>1099</v>
      </c>
    </row>
    <row r="16" customFormat="false" ht="15" hidden="false" customHeight="false" outlineLevel="0" collapsed="false">
      <c r="A16" s="52" t="s">
        <v>992</v>
      </c>
      <c r="B16" s="52" t="s">
        <v>1100</v>
      </c>
      <c r="C16" s="52" t="s">
        <v>1101</v>
      </c>
      <c r="D16" s="52" t="s">
        <v>1102</v>
      </c>
    </row>
    <row r="17" customFormat="false" ht="15" hidden="false" customHeight="false" outlineLevel="0" collapsed="false">
      <c r="A17" s="50" t="s">
        <v>968</v>
      </c>
      <c r="B17" s="50" t="s">
        <v>1103</v>
      </c>
      <c r="C17" s="50" t="s">
        <v>1104</v>
      </c>
      <c r="D17" s="50" t="s">
        <v>1105</v>
      </c>
    </row>
    <row r="18" customFormat="false" ht="15" hidden="false" customHeight="false" outlineLevel="0" collapsed="false">
      <c r="A18" s="52" t="s">
        <v>1106</v>
      </c>
      <c r="B18" s="52" t="s">
        <v>1107</v>
      </c>
      <c r="C18" s="52" t="s">
        <v>1108</v>
      </c>
      <c r="D18" s="52" t="s">
        <v>1109</v>
      </c>
    </row>
    <row r="19" customFormat="false" ht="23.85" hidden="false" customHeight="false" outlineLevel="0" collapsed="false">
      <c r="A19" s="50" t="s">
        <v>1110</v>
      </c>
      <c r="B19" s="50" t="s">
        <v>1111</v>
      </c>
      <c r="C19" s="50" t="s">
        <v>1112</v>
      </c>
      <c r="D19" s="50" t="s">
        <v>1113</v>
      </c>
    </row>
    <row r="20" customFormat="false" ht="15" hidden="false" customHeight="false" outlineLevel="0" collapsed="false">
      <c r="A20" s="52" t="s">
        <v>822</v>
      </c>
      <c r="B20" s="52" t="s">
        <v>1114</v>
      </c>
      <c r="C20" s="52" t="s">
        <v>1115</v>
      </c>
      <c r="D20" s="52" t="s">
        <v>1116</v>
      </c>
    </row>
    <row r="21" customFormat="false" ht="15" hidden="false" customHeight="false" outlineLevel="0" collapsed="false">
      <c r="A21" s="50" t="s">
        <v>1021</v>
      </c>
      <c r="B21" s="50" t="s">
        <v>1117</v>
      </c>
      <c r="C21" s="50" t="s">
        <v>1118</v>
      </c>
      <c r="D21" s="50" t="s">
        <v>1119</v>
      </c>
    </row>
    <row r="22" customFormat="false" ht="23.85" hidden="false" customHeight="false" outlineLevel="0" collapsed="false">
      <c r="A22" s="52" t="s">
        <v>1120</v>
      </c>
      <c r="B22" s="52" t="s">
        <v>1121</v>
      </c>
      <c r="C22" s="52" t="s">
        <v>1122</v>
      </c>
      <c r="D22" s="52" t="s">
        <v>1123</v>
      </c>
    </row>
    <row r="23" customFormat="false" ht="15" hidden="false" customHeight="false" outlineLevel="0" collapsed="false">
      <c r="A23" s="50" t="s">
        <v>1124</v>
      </c>
      <c r="B23" s="50" t="s">
        <v>1121</v>
      </c>
      <c r="C23" s="50" t="s">
        <v>1125</v>
      </c>
      <c r="D23" s="50" t="s">
        <v>1126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2026-09-22T03:35:26Z</dcterms:created>
  <dc:creator>openpyxl</dc:creator>
  <dc:description/>
  <dc:language>en-US</dc:language>
  <cp:lastModifiedBy/>
  <dcterms:modified xsi:type="dcterms:W3CDTF">2026-09-22T03:35:27Z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