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uni\FBA\"/>
    </mc:Choice>
  </mc:AlternateContent>
  <xr:revisionPtr revIDLastSave="0" documentId="13_ncr:1_{C0E80205-7288-46DA-B236-E40CC274E7AD}" xr6:coauthVersionLast="47" xr6:coauthVersionMax="47" xr10:uidLastSave="{00000000-0000-0000-0000-000000000000}"/>
  <bookViews>
    <workbookView xWindow="3200" yWindow="3200" windowWidth="14400" windowHeight="7470" xr2:uid="{00000000-000D-0000-FFFF-FFFF00000000}"/>
  </bookViews>
  <sheets>
    <sheet name="Read me" sheetId="1" r:id="rId1"/>
    <sheet name="DNSE financials" sheetId="2" r:id="rId2"/>
    <sheet name="DNSE statements" sheetId="3" r:id="rId3"/>
    <sheet name="Market share" sheetId="4" r:id="rId4"/>
    <sheet name="Market share history" sheetId="5" r:id="rId5"/>
    <sheet name="Industry cross-section" sheetId="6" r:id="rId6"/>
    <sheet name="Broker totals" sheetId="7" r:id="rId7"/>
    <sheet name="DNSE position" sheetId="8" r:id="rId8"/>
    <sheet name="Market and macro" sheetId="9" r:id="rId9"/>
    <sheet name="Review analysis" sheetId="10" r:id="rId10"/>
    <sheet name="Review quotes" sheetId="11" r:id="rId11"/>
    <sheet name="Segment model" sheetId="12" r:id="rId12"/>
    <sheet name="Segments 2024" sheetId="13" r:id="rId13"/>
    <sheet name="Segment gaps" sheetId="14" r:id="rId14"/>
    <sheet name="National 2024" sheetId="15" r:id="rId15"/>
    <sheet name="Trends" sheetId="16" r:id="rId16"/>
    <sheet name="Vietnam reference" sheetId="17" r:id="rId17"/>
    <sheet name="Sources" sheetId="18" r:id="rId18"/>
  </sheets>
  <definedNames>
    <definedName name="_xlnm._FilterDatabase" localSheetId="14" hidden="1">'National 2024'!$A$4:$D$36</definedName>
    <definedName name="_xlnm._FilterDatabase" localSheetId="10" hidden="1">'Review quotes'!$A$4:$F$54</definedName>
    <definedName name="_xlnm._FilterDatabase" localSheetId="13" hidden="1">'Segment gaps'!$A$4:$I$55</definedName>
    <definedName name="_xlnm._FilterDatabase" localSheetId="12" hidden="1">'Segments 2024'!$A$4:$P$55</definedName>
    <definedName name="_xlnm._FilterDatabase" localSheetId="15" hidden="1">Trends!$A$4:$I$30</definedName>
    <definedName name="_xlnm._FilterDatabase" localSheetId="16" hidden="1">'Vietnam reference'!$A$4:$E$143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0" i="16" l="1"/>
  <c r="H30" i="16"/>
  <c r="I29" i="16"/>
  <c r="H29" i="16"/>
  <c r="I28" i="16"/>
  <c r="H28" i="16"/>
  <c r="I27" i="16"/>
  <c r="H27" i="16"/>
  <c r="I26" i="16"/>
  <c r="H26" i="16"/>
  <c r="I25" i="16"/>
  <c r="H25" i="16"/>
  <c r="I24" i="16"/>
  <c r="H24" i="16"/>
  <c r="I23" i="16"/>
  <c r="H23" i="16"/>
  <c r="I22" i="16"/>
  <c r="H22" i="16"/>
  <c r="I21" i="16"/>
  <c r="H21" i="16"/>
  <c r="I20" i="16"/>
  <c r="H20" i="16"/>
  <c r="I19" i="16"/>
  <c r="H19" i="16"/>
  <c r="I18" i="16"/>
  <c r="H18" i="16"/>
  <c r="I17" i="16"/>
  <c r="H17" i="16"/>
  <c r="I16" i="16"/>
  <c r="H16" i="16"/>
  <c r="I15" i="16"/>
  <c r="H15" i="16"/>
  <c r="I14" i="16"/>
  <c r="H14" i="16"/>
  <c r="I13" i="16"/>
  <c r="H13" i="16"/>
  <c r="I12" i="16"/>
  <c r="H12" i="16"/>
  <c r="I11" i="16"/>
  <c r="H11" i="16"/>
  <c r="I10" i="16"/>
  <c r="H10" i="16"/>
  <c r="I9" i="16"/>
  <c r="H9" i="16"/>
  <c r="I8" i="16"/>
  <c r="H8" i="16"/>
  <c r="I7" i="16"/>
  <c r="H7" i="16"/>
  <c r="I6" i="16"/>
  <c r="H6" i="16"/>
  <c r="I5" i="16"/>
  <c r="H5" i="16"/>
  <c r="I55" i="14"/>
  <c r="H55" i="14"/>
  <c r="G55" i="14"/>
  <c r="F55" i="14"/>
  <c r="E55" i="14"/>
  <c r="D55" i="14"/>
  <c r="C55" i="14"/>
  <c r="I54" i="14"/>
  <c r="H54" i="14"/>
  <c r="G54" i="14"/>
  <c r="F54" i="14"/>
  <c r="E54" i="14"/>
  <c r="D54" i="14"/>
  <c r="C54" i="14"/>
  <c r="I53" i="14"/>
  <c r="H53" i="14"/>
  <c r="G53" i="14"/>
  <c r="F53" i="14"/>
  <c r="E53" i="14"/>
  <c r="D53" i="14"/>
  <c r="C53" i="14"/>
  <c r="I52" i="14"/>
  <c r="H52" i="14"/>
  <c r="G52" i="14"/>
  <c r="F52" i="14"/>
  <c r="E52" i="14"/>
  <c r="D52" i="14"/>
  <c r="C52" i="14"/>
  <c r="I51" i="14"/>
  <c r="H51" i="14"/>
  <c r="G51" i="14"/>
  <c r="F51" i="14"/>
  <c r="E51" i="14"/>
  <c r="D51" i="14"/>
  <c r="C51" i="14"/>
  <c r="I50" i="14"/>
  <c r="H50" i="14"/>
  <c r="G50" i="14"/>
  <c r="F50" i="14"/>
  <c r="E50" i="14"/>
  <c r="D50" i="14"/>
  <c r="C50" i="14"/>
  <c r="I49" i="14"/>
  <c r="H49" i="14"/>
  <c r="G49" i="14"/>
  <c r="F49" i="14"/>
  <c r="E49" i="14"/>
  <c r="D49" i="14"/>
  <c r="C49" i="14"/>
  <c r="I48" i="14"/>
  <c r="H48" i="14"/>
  <c r="G48" i="14"/>
  <c r="F48" i="14"/>
  <c r="E48" i="14"/>
  <c r="D48" i="14"/>
  <c r="C48" i="14"/>
  <c r="I47" i="14"/>
  <c r="H47" i="14"/>
  <c r="G47" i="14"/>
  <c r="F47" i="14"/>
  <c r="E47" i="14"/>
  <c r="D47" i="14"/>
  <c r="C47" i="14"/>
  <c r="I46" i="14"/>
  <c r="H46" i="14"/>
  <c r="G46" i="14"/>
  <c r="F46" i="14"/>
  <c r="E46" i="14"/>
  <c r="D46" i="14"/>
  <c r="C46" i="14"/>
  <c r="I45" i="14"/>
  <c r="H45" i="14"/>
  <c r="G45" i="14"/>
  <c r="F45" i="14"/>
  <c r="E45" i="14"/>
  <c r="D45" i="14"/>
  <c r="C45" i="14"/>
  <c r="I44" i="14"/>
  <c r="H44" i="14"/>
  <c r="G44" i="14"/>
  <c r="F44" i="14"/>
  <c r="E44" i="14"/>
  <c r="D44" i="14"/>
  <c r="C44" i="14"/>
  <c r="I43" i="14"/>
  <c r="H43" i="14"/>
  <c r="G43" i="14"/>
  <c r="F43" i="14"/>
  <c r="E43" i="14"/>
  <c r="D43" i="14"/>
  <c r="C43" i="14"/>
  <c r="I42" i="14"/>
  <c r="H42" i="14"/>
  <c r="G42" i="14"/>
  <c r="F42" i="14"/>
  <c r="E42" i="14"/>
  <c r="D42" i="14"/>
  <c r="C42" i="14"/>
  <c r="I41" i="14"/>
  <c r="H41" i="14"/>
  <c r="G41" i="14"/>
  <c r="F41" i="14"/>
  <c r="E41" i="14"/>
  <c r="D41" i="14"/>
  <c r="C41" i="14"/>
  <c r="I40" i="14"/>
  <c r="H40" i="14"/>
  <c r="G40" i="14"/>
  <c r="F40" i="14"/>
  <c r="E40" i="14"/>
  <c r="D40" i="14"/>
  <c r="C40" i="14"/>
  <c r="I39" i="14"/>
  <c r="H39" i="14"/>
  <c r="G39" i="14"/>
  <c r="F39" i="14"/>
  <c r="E39" i="14"/>
  <c r="D39" i="14"/>
  <c r="C39" i="14"/>
  <c r="I38" i="14"/>
  <c r="H38" i="14"/>
  <c r="G38" i="14"/>
  <c r="F38" i="14"/>
  <c r="E38" i="14"/>
  <c r="D38" i="14"/>
  <c r="C38" i="14"/>
  <c r="I37" i="14"/>
  <c r="H37" i="14"/>
  <c r="G37" i="14"/>
  <c r="F37" i="14"/>
  <c r="E37" i="14"/>
  <c r="D37" i="14"/>
  <c r="C37" i="14"/>
  <c r="I36" i="14"/>
  <c r="H36" i="14"/>
  <c r="G36" i="14"/>
  <c r="F36" i="14"/>
  <c r="E36" i="14"/>
  <c r="D36" i="14"/>
  <c r="C36" i="14"/>
  <c r="I35" i="14"/>
  <c r="H35" i="14"/>
  <c r="G35" i="14"/>
  <c r="F35" i="14"/>
  <c r="E35" i="14"/>
  <c r="D35" i="14"/>
  <c r="C35" i="14"/>
  <c r="I34" i="14"/>
  <c r="H34" i="14"/>
  <c r="G34" i="14"/>
  <c r="F34" i="14"/>
  <c r="E34" i="14"/>
  <c r="D34" i="14"/>
  <c r="C34" i="14"/>
  <c r="I33" i="14"/>
  <c r="H33" i="14"/>
  <c r="G33" i="14"/>
  <c r="F33" i="14"/>
  <c r="E33" i="14"/>
  <c r="D33" i="14"/>
  <c r="C33" i="14"/>
  <c r="I32" i="14"/>
  <c r="H32" i="14"/>
  <c r="G32" i="14"/>
  <c r="F32" i="14"/>
  <c r="E32" i="14"/>
  <c r="D32" i="14"/>
  <c r="C32" i="14"/>
  <c r="I31" i="14"/>
  <c r="H31" i="14"/>
  <c r="G31" i="14"/>
  <c r="F31" i="14"/>
  <c r="E31" i="14"/>
  <c r="D31" i="14"/>
  <c r="C31" i="14"/>
  <c r="I30" i="14"/>
  <c r="H30" i="14"/>
  <c r="G30" i="14"/>
  <c r="F30" i="14"/>
  <c r="E30" i="14"/>
  <c r="D30" i="14"/>
  <c r="C30" i="14"/>
  <c r="I29" i="14"/>
  <c r="H29" i="14"/>
  <c r="G29" i="14"/>
  <c r="F29" i="14"/>
  <c r="E29" i="14"/>
  <c r="D29" i="14"/>
  <c r="C29" i="14"/>
  <c r="I28" i="14"/>
  <c r="H28" i="14"/>
  <c r="G28" i="14"/>
  <c r="F28" i="14"/>
  <c r="E28" i="14"/>
  <c r="D28" i="14"/>
  <c r="C28" i="14"/>
  <c r="I27" i="14"/>
  <c r="H27" i="14"/>
  <c r="G27" i="14"/>
  <c r="F27" i="14"/>
  <c r="E27" i="14"/>
  <c r="D27" i="14"/>
  <c r="C27" i="14"/>
  <c r="I26" i="14"/>
  <c r="H26" i="14"/>
  <c r="G26" i="14"/>
  <c r="F26" i="14"/>
  <c r="E26" i="14"/>
  <c r="D26" i="14"/>
  <c r="C26" i="14"/>
  <c r="I25" i="14"/>
  <c r="H25" i="14"/>
  <c r="G25" i="14"/>
  <c r="F25" i="14"/>
  <c r="E25" i="14"/>
  <c r="D25" i="14"/>
  <c r="C25" i="14"/>
  <c r="I24" i="14"/>
  <c r="H24" i="14"/>
  <c r="G24" i="14"/>
  <c r="F24" i="14"/>
  <c r="E24" i="14"/>
  <c r="D24" i="14"/>
  <c r="C24" i="14"/>
  <c r="I23" i="14"/>
  <c r="H23" i="14"/>
  <c r="G23" i="14"/>
  <c r="F23" i="14"/>
  <c r="E23" i="14"/>
  <c r="D23" i="14"/>
  <c r="C23" i="14"/>
  <c r="I22" i="14"/>
  <c r="H22" i="14"/>
  <c r="G22" i="14"/>
  <c r="F22" i="14"/>
  <c r="E22" i="14"/>
  <c r="D22" i="14"/>
  <c r="C22" i="14"/>
  <c r="I21" i="14"/>
  <c r="H21" i="14"/>
  <c r="G21" i="14"/>
  <c r="F21" i="14"/>
  <c r="E21" i="14"/>
  <c r="D21" i="14"/>
  <c r="C21" i="14"/>
  <c r="I20" i="14"/>
  <c r="H20" i="14"/>
  <c r="G20" i="14"/>
  <c r="F20" i="14"/>
  <c r="E20" i="14"/>
  <c r="D20" i="14"/>
  <c r="C20" i="14"/>
  <c r="I19" i="14"/>
  <c r="H19" i="14"/>
  <c r="G19" i="14"/>
  <c r="F19" i="14"/>
  <c r="E19" i="14"/>
  <c r="D19" i="14"/>
  <c r="C19" i="14"/>
  <c r="I18" i="14"/>
  <c r="H18" i="14"/>
  <c r="G18" i="14"/>
  <c r="F18" i="14"/>
  <c r="E18" i="14"/>
  <c r="D18" i="14"/>
  <c r="C18" i="14"/>
  <c r="I17" i="14"/>
  <c r="H17" i="14"/>
  <c r="G17" i="14"/>
  <c r="F17" i="14"/>
  <c r="E17" i="14"/>
  <c r="D17" i="14"/>
  <c r="C17" i="14"/>
  <c r="I16" i="14"/>
  <c r="H16" i="14"/>
  <c r="G16" i="14"/>
  <c r="F16" i="14"/>
  <c r="E16" i="14"/>
  <c r="D16" i="14"/>
  <c r="C16" i="14"/>
  <c r="I15" i="14"/>
  <c r="H15" i="14"/>
  <c r="G15" i="14"/>
  <c r="F15" i="14"/>
  <c r="E15" i="14"/>
  <c r="D15" i="14"/>
  <c r="C15" i="14"/>
  <c r="I14" i="14"/>
  <c r="H14" i="14"/>
  <c r="G14" i="14"/>
  <c r="F14" i="14"/>
  <c r="E14" i="14"/>
  <c r="D14" i="14"/>
  <c r="C14" i="14"/>
  <c r="I13" i="14"/>
  <c r="H13" i="14"/>
  <c r="G13" i="14"/>
  <c r="F13" i="14"/>
  <c r="E13" i="14"/>
  <c r="D13" i="14"/>
  <c r="C13" i="14"/>
  <c r="I12" i="14"/>
  <c r="H12" i="14"/>
  <c r="G12" i="14"/>
  <c r="F12" i="14"/>
  <c r="E12" i="14"/>
  <c r="D12" i="14"/>
  <c r="C12" i="14"/>
  <c r="I11" i="14"/>
  <c r="H11" i="14"/>
  <c r="G11" i="14"/>
  <c r="F11" i="14"/>
  <c r="E11" i="14"/>
  <c r="D11" i="14"/>
  <c r="C11" i="14"/>
  <c r="I10" i="14"/>
  <c r="H10" i="14"/>
  <c r="G10" i="14"/>
  <c r="F10" i="14"/>
  <c r="E10" i="14"/>
  <c r="D10" i="14"/>
  <c r="C10" i="14"/>
  <c r="I9" i="14"/>
  <c r="H9" i="14"/>
  <c r="G9" i="14"/>
  <c r="F9" i="14"/>
  <c r="E9" i="14"/>
  <c r="D9" i="14"/>
  <c r="C9" i="14"/>
  <c r="I8" i="14"/>
  <c r="H8" i="14"/>
  <c r="G8" i="14"/>
  <c r="F8" i="14"/>
  <c r="E8" i="14"/>
  <c r="D8" i="14"/>
  <c r="C8" i="14"/>
  <c r="I7" i="14"/>
  <c r="H7" i="14"/>
  <c r="G7" i="14"/>
  <c r="F7" i="14"/>
  <c r="E7" i="14"/>
  <c r="D7" i="14"/>
  <c r="C7" i="14"/>
  <c r="I6" i="14"/>
  <c r="H6" i="14"/>
  <c r="G6" i="14"/>
  <c r="F6" i="14"/>
  <c r="E6" i="14"/>
  <c r="D6" i="14"/>
  <c r="C6" i="14"/>
  <c r="I5" i="14"/>
  <c r="H5" i="14"/>
  <c r="G5" i="14"/>
  <c r="F5" i="14"/>
  <c r="E5" i="14"/>
  <c r="D5" i="14"/>
  <c r="C5" i="14"/>
  <c r="F37" i="12"/>
  <c r="E37" i="12"/>
  <c r="G37" i="12" s="1"/>
  <c r="I37" i="12" s="1"/>
  <c r="C37" i="12"/>
  <c r="B37" i="12"/>
  <c r="D37" i="12" s="1"/>
  <c r="J37" i="12" s="1"/>
  <c r="F36" i="12"/>
  <c r="E36" i="12"/>
  <c r="G36" i="12" s="1"/>
  <c r="I36" i="12" s="1"/>
  <c r="C36" i="12"/>
  <c r="B36" i="12"/>
  <c r="F35" i="12"/>
  <c r="E35" i="12"/>
  <c r="G35" i="12" s="1"/>
  <c r="I35" i="12" s="1"/>
  <c r="J35" i="12" s="1"/>
  <c r="C35" i="12"/>
  <c r="B35" i="12"/>
  <c r="D35" i="12" s="1"/>
  <c r="F34" i="12"/>
  <c r="E34" i="12"/>
  <c r="G34" i="12" s="1"/>
  <c r="I34" i="12" s="1"/>
  <c r="C34" i="12"/>
  <c r="B34" i="12"/>
  <c r="D34" i="12" s="1"/>
  <c r="J34" i="12" s="1"/>
  <c r="F33" i="12"/>
  <c r="E33" i="12"/>
  <c r="G33" i="12" s="1"/>
  <c r="I33" i="12" s="1"/>
  <c r="C33" i="12"/>
  <c r="B33" i="12"/>
  <c r="D33" i="12" s="1"/>
  <c r="J33" i="12" s="1"/>
  <c r="F32" i="12"/>
  <c r="E32" i="12"/>
  <c r="G32" i="12" s="1"/>
  <c r="I32" i="12" s="1"/>
  <c r="C32" i="12"/>
  <c r="B32" i="12"/>
  <c r="F31" i="12"/>
  <c r="E31" i="12"/>
  <c r="G31" i="12" s="1"/>
  <c r="I31" i="12" s="1"/>
  <c r="C31" i="12"/>
  <c r="B31" i="12"/>
  <c r="F30" i="12"/>
  <c r="E30" i="12"/>
  <c r="G30" i="12" s="1"/>
  <c r="I30" i="12" s="1"/>
  <c r="C30" i="12"/>
  <c r="B30" i="12"/>
  <c r="D30" i="12" s="1"/>
  <c r="J30" i="12" s="1"/>
  <c r="F29" i="12"/>
  <c r="E29" i="12"/>
  <c r="G29" i="12" s="1"/>
  <c r="I29" i="12" s="1"/>
  <c r="C29" i="12"/>
  <c r="B29" i="12"/>
  <c r="D29" i="12" s="1"/>
  <c r="F28" i="12"/>
  <c r="E28" i="12"/>
  <c r="G28" i="12" s="1"/>
  <c r="I28" i="12" s="1"/>
  <c r="C28" i="12"/>
  <c r="B28" i="12"/>
  <c r="D28" i="12" s="1"/>
  <c r="J28" i="12" s="1"/>
  <c r="F27" i="12"/>
  <c r="E27" i="12"/>
  <c r="G27" i="12" s="1"/>
  <c r="I27" i="12" s="1"/>
  <c r="C27" i="12"/>
  <c r="B27" i="12"/>
  <c r="D27" i="12" s="1"/>
  <c r="F26" i="12"/>
  <c r="E26" i="12"/>
  <c r="G26" i="12" s="1"/>
  <c r="I26" i="12" s="1"/>
  <c r="C26" i="12"/>
  <c r="B26" i="12"/>
  <c r="D26" i="12" s="1"/>
  <c r="F25" i="12"/>
  <c r="E25" i="12"/>
  <c r="G25" i="12" s="1"/>
  <c r="I25" i="12" s="1"/>
  <c r="C25" i="12"/>
  <c r="B25" i="12"/>
  <c r="D25" i="12" s="1"/>
  <c r="J25" i="12" s="1"/>
  <c r="E106" i="10"/>
  <c r="C106" i="10"/>
  <c r="E105" i="10"/>
  <c r="C105" i="10"/>
  <c r="F104" i="10"/>
  <c r="F103" i="10"/>
  <c r="E103" i="10"/>
  <c r="C103" i="10"/>
  <c r="F102" i="10"/>
  <c r="E102" i="10"/>
  <c r="C102" i="10"/>
  <c r="F101" i="10"/>
  <c r="E101" i="10"/>
  <c r="C101" i="10"/>
  <c r="F100" i="10"/>
  <c r="E100" i="10"/>
  <c r="C100" i="10"/>
  <c r="F99" i="10"/>
  <c r="E99" i="10"/>
  <c r="C99" i="10"/>
  <c r="F98" i="10"/>
  <c r="E98" i="10"/>
  <c r="C98" i="10"/>
  <c r="F97" i="10"/>
  <c r="E97" i="10"/>
  <c r="C97" i="10"/>
  <c r="F96" i="10"/>
  <c r="E96" i="10"/>
  <c r="C96" i="10"/>
  <c r="F95" i="10"/>
  <c r="E95" i="10"/>
  <c r="C95" i="10"/>
  <c r="F94" i="10"/>
  <c r="E94" i="10"/>
  <c r="C94" i="10"/>
  <c r="F93" i="10"/>
  <c r="E93" i="10"/>
  <c r="C93" i="10"/>
  <c r="E71" i="10"/>
  <c r="F70" i="10"/>
  <c r="E70" i="10"/>
  <c r="F69" i="10"/>
  <c r="E69" i="10"/>
  <c r="F68" i="10"/>
  <c r="E68" i="10"/>
  <c r="F67" i="10"/>
  <c r="E67" i="10"/>
  <c r="F66" i="10"/>
  <c r="E66" i="10"/>
  <c r="F65" i="10"/>
  <c r="E65" i="10"/>
  <c r="F64" i="10"/>
  <c r="E64" i="10"/>
  <c r="F63" i="10"/>
  <c r="E63" i="10"/>
  <c r="F62" i="10"/>
  <c r="E62" i="10"/>
  <c r="F61" i="10"/>
  <c r="E61" i="10"/>
  <c r="F60" i="10"/>
  <c r="E60" i="10"/>
  <c r="G36" i="10"/>
  <c r="C36" i="10"/>
  <c r="B36" i="10"/>
  <c r="E35" i="10"/>
  <c r="D35" i="10"/>
  <c r="E34" i="10"/>
  <c r="D34" i="10"/>
  <c r="E33" i="10"/>
  <c r="D33" i="10"/>
  <c r="E32" i="10"/>
  <c r="D32" i="10"/>
  <c r="E31" i="10"/>
  <c r="D31" i="10"/>
  <c r="E30" i="10"/>
  <c r="D30" i="10"/>
  <c r="E29" i="10"/>
  <c r="E36" i="10" s="1"/>
  <c r="D29" i="10"/>
  <c r="D22" i="10"/>
  <c r="C22" i="10"/>
  <c r="B22" i="10"/>
  <c r="J25" i="9"/>
  <c r="I25" i="9"/>
  <c r="H25" i="9"/>
  <c r="G25" i="9"/>
  <c r="F25" i="9"/>
  <c r="E25" i="9"/>
  <c r="D25" i="9"/>
  <c r="C25" i="9"/>
  <c r="J24" i="9"/>
  <c r="I24" i="9"/>
  <c r="H24" i="9"/>
  <c r="G24" i="9"/>
  <c r="F24" i="9"/>
  <c r="E24" i="9"/>
  <c r="D24" i="9"/>
  <c r="C24" i="9"/>
  <c r="B24" i="9"/>
  <c r="J22" i="9"/>
  <c r="I22" i="9"/>
  <c r="H22" i="9"/>
  <c r="G22" i="9"/>
  <c r="F22" i="9"/>
  <c r="E22" i="9"/>
  <c r="D22" i="9"/>
  <c r="C22" i="9"/>
  <c r="C10" i="8"/>
  <c r="E10" i="8" s="1"/>
  <c r="E9" i="8"/>
  <c r="E8" i="8"/>
  <c r="E7" i="8"/>
  <c r="E6" i="8"/>
  <c r="E5" i="8"/>
  <c r="L38" i="7"/>
  <c r="E38" i="7"/>
  <c r="L37" i="7"/>
  <c r="E37" i="7"/>
  <c r="L36" i="7"/>
  <c r="E36" i="7"/>
  <c r="L35" i="7"/>
  <c r="E35" i="7"/>
  <c r="L34" i="7"/>
  <c r="E34" i="7"/>
  <c r="L33" i="7"/>
  <c r="E33" i="7"/>
  <c r="L32" i="7"/>
  <c r="E32" i="7"/>
  <c r="L31" i="7"/>
  <c r="E31" i="7"/>
  <c r="L30" i="7"/>
  <c r="E30" i="7"/>
  <c r="L29" i="7"/>
  <c r="E29" i="7"/>
  <c r="L28" i="7"/>
  <c r="E28" i="7"/>
  <c r="L27" i="7"/>
  <c r="E27" i="7"/>
  <c r="L26" i="7"/>
  <c r="E26" i="7"/>
  <c r="L25" i="7"/>
  <c r="E25" i="7"/>
  <c r="L24" i="7"/>
  <c r="E24" i="7"/>
  <c r="L23" i="7"/>
  <c r="E23" i="7"/>
  <c r="L22" i="7"/>
  <c r="E22" i="7"/>
  <c r="L21" i="7"/>
  <c r="E21" i="7"/>
  <c r="L20" i="7"/>
  <c r="E20" i="7"/>
  <c r="L19" i="7"/>
  <c r="E19" i="7"/>
  <c r="L18" i="7"/>
  <c r="E18" i="7"/>
  <c r="L17" i="7"/>
  <c r="E17" i="7"/>
  <c r="L16" i="7"/>
  <c r="E16" i="7"/>
  <c r="L15" i="7"/>
  <c r="E15" i="7"/>
  <c r="L14" i="7"/>
  <c r="E14" i="7"/>
  <c r="L13" i="7"/>
  <c r="E13" i="7"/>
  <c r="L12" i="7"/>
  <c r="E12" i="7"/>
  <c r="L11" i="7"/>
  <c r="E11" i="7"/>
  <c r="L10" i="7"/>
  <c r="E10" i="7"/>
  <c r="L9" i="7"/>
  <c r="E9" i="7"/>
  <c r="L8" i="7"/>
  <c r="E8" i="7"/>
  <c r="L7" i="7"/>
  <c r="E7" i="7"/>
  <c r="L6" i="7"/>
  <c r="E6" i="7"/>
  <c r="L5" i="7"/>
  <c r="E5" i="7"/>
  <c r="C21" i="6"/>
  <c r="C20" i="6"/>
  <c r="C19" i="6"/>
  <c r="D16" i="6"/>
  <c r="B16" i="6"/>
  <c r="C16" i="6" s="1"/>
  <c r="C15" i="6"/>
  <c r="C14" i="6"/>
  <c r="C13" i="6"/>
  <c r="C12" i="6"/>
  <c r="C11" i="6"/>
  <c r="C10" i="6"/>
  <c r="C9" i="6"/>
  <c r="C8" i="6"/>
  <c r="C7" i="6"/>
  <c r="C6" i="6"/>
  <c r="C5" i="6"/>
  <c r="C36" i="4"/>
  <c r="C35" i="4"/>
  <c r="C34" i="4"/>
  <c r="C33" i="4"/>
  <c r="C32" i="4"/>
  <c r="C31" i="4"/>
  <c r="C30" i="4"/>
  <c r="C29" i="4"/>
  <c r="C28" i="4"/>
  <c r="F21" i="4"/>
  <c r="E21" i="4"/>
  <c r="C21" i="4"/>
  <c r="B21" i="4"/>
  <c r="D20" i="4"/>
  <c r="D19" i="4"/>
  <c r="D18" i="4"/>
  <c r="D17" i="4"/>
  <c r="D16" i="4"/>
  <c r="D15" i="4"/>
  <c r="D14" i="4"/>
  <c r="D13" i="4"/>
  <c r="D12" i="4"/>
  <c r="D11" i="4"/>
  <c r="D10" i="4"/>
  <c r="D9" i="4"/>
  <c r="D8" i="4"/>
  <c r="D7" i="4"/>
  <c r="D6" i="4"/>
  <c r="D5" i="4"/>
  <c r="I80" i="2"/>
  <c r="H80" i="2"/>
  <c r="G80" i="2"/>
  <c r="F80" i="2"/>
  <c r="E80" i="2"/>
  <c r="D80" i="2"/>
  <c r="C80" i="2"/>
  <c r="B80" i="2"/>
  <c r="I79" i="2"/>
  <c r="H79" i="2"/>
  <c r="G79" i="2"/>
  <c r="F79" i="2"/>
  <c r="E79" i="2"/>
  <c r="D79" i="2"/>
  <c r="C79" i="2"/>
  <c r="B79" i="2"/>
  <c r="I78" i="2"/>
  <c r="H78" i="2"/>
  <c r="G78" i="2"/>
  <c r="F78" i="2"/>
  <c r="E78" i="2"/>
  <c r="D78" i="2"/>
  <c r="C78" i="2"/>
  <c r="B78" i="2"/>
  <c r="B68" i="2"/>
  <c r="B67" i="2"/>
  <c r="B66" i="2"/>
  <c r="B64" i="2"/>
  <c r="B62" i="2"/>
  <c r="B59" i="2"/>
  <c r="B58" i="2"/>
  <c r="B57" i="2"/>
  <c r="D36" i="2"/>
  <c r="C36" i="2"/>
  <c r="B36" i="2"/>
  <c r="D35" i="2"/>
  <c r="C35" i="2"/>
  <c r="B35" i="2"/>
  <c r="D34" i="2"/>
  <c r="C34" i="2"/>
  <c r="B34" i="2"/>
  <c r="D33" i="2"/>
  <c r="C33" i="2"/>
  <c r="B33" i="2"/>
  <c r="D32" i="2"/>
  <c r="C32" i="2"/>
  <c r="B32" i="2"/>
  <c r="D31" i="2"/>
  <c r="C31" i="2"/>
  <c r="B31" i="2"/>
  <c r="D30" i="2"/>
  <c r="C30" i="2"/>
  <c r="B30" i="2"/>
  <c r="D29" i="2"/>
  <c r="C29" i="2"/>
  <c r="B29" i="2"/>
  <c r="E25" i="2"/>
  <c r="E24" i="2"/>
  <c r="B60" i="2" s="1"/>
  <c r="E23" i="2"/>
  <c r="E22" i="2"/>
  <c r="E21" i="2"/>
  <c r="E20" i="2"/>
  <c r="E36" i="2" s="1"/>
  <c r="E19" i="2"/>
  <c r="F19" i="2" s="1"/>
  <c r="E18" i="2"/>
  <c r="E17" i="2"/>
  <c r="F17" i="2" s="1"/>
  <c r="E16" i="2"/>
  <c r="F16" i="2" s="1"/>
  <c r="E15" i="2"/>
  <c r="F15" i="2" s="1"/>
  <c r="E14" i="2"/>
  <c r="F14" i="2" s="1"/>
  <c r="E13" i="2"/>
  <c r="F13" i="2" s="1"/>
  <c r="D12" i="2"/>
  <c r="C12" i="2"/>
  <c r="E12" i="2" s="1"/>
  <c r="B65" i="2" s="1"/>
  <c r="B12" i="2"/>
  <c r="F12" i="2" s="1"/>
  <c r="E11" i="2"/>
  <c r="F11" i="2" s="1"/>
  <c r="D10" i="2"/>
  <c r="C10" i="2"/>
  <c r="E10" i="2" s="1"/>
  <c r="B10" i="2"/>
  <c r="F10" i="2" s="1"/>
  <c r="E9" i="2"/>
  <c r="E8" i="2"/>
  <c r="E7" i="2"/>
  <c r="B56" i="2" s="1"/>
  <c r="E6" i="2"/>
  <c r="B61" i="2" s="1"/>
  <c r="B63" i="2" s="1"/>
  <c r="E5" i="2"/>
  <c r="D32" i="12" l="1"/>
  <c r="J32" i="12" s="1"/>
  <c r="D36" i="12"/>
  <c r="J36" i="12" s="1"/>
  <c r="D31" i="12"/>
  <c r="J31" i="12" s="1"/>
  <c r="J27" i="12"/>
  <c r="B39" i="12"/>
  <c r="D36" i="10"/>
  <c r="B15" i="8"/>
  <c r="B14" i="8"/>
  <c r="B16" i="8"/>
  <c r="F5" i="2"/>
  <c r="B55" i="2"/>
  <c r="E29" i="2"/>
  <c r="F18" i="2"/>
  <c r="E33" i="2"/>
  <c r="F9" i="2"/>
  <c r="F8" i="2"/>
  <c r="E32" i="2"/>
  <c r="E35" i="2"/>
  <c r="F7" i="2"/>
  <c r="E31" i="2"/>
  <c r="E34" i="2"/>
  <c r="E30" i="2"/>
  <c r="F6" i="2"/>
  <c r="J29" i="12"/>
  <c r="J26" i="12"/>
</calcChain>
</file>

<file path=xl/sharedStrings.xml><?xml version="1.0" encoding="utf-8"?>
<sst xmlns="http://schemas.openxmlformats.org/spreadsheetml/2006/main" count="4158" uniqueCount="2403">
  <si>
    <t>FBA Season 6 Round 2 consolidated data pack: DNSE Securities</t>
  </si>
  <si>
    <t>Every dataset behind the DNSE report, in one file. Compiled 20 to 21 September 2026.</t>
  </si>
  <si>
    <t>What this is</t>
  </si>
  <si>
    <t>Five datasets in one workbook. DNSE company financials and market position, the Vietnamese securities industry cross-section, 868 cleaned Google Play reviews of DNSE and two competitors, the complete Global Findex record for Vietnam, and a macro reference sheet. Every computed cell is a formula, so editing an input updates everything downstream.</t>
  </si>
  <si>
    <t>Where the data came from</t>
  </si>
  <si>
    <t>DNSE financials from its filed statements, every line, pulled from Vietcap's data service on 2026-09-24 and checked against the KPMG-reviewed half-year statements; accounts and plan targets from investor relations releases and the 2026 annual general meeting. Market share from every HOSE and HNX quarterly announcement found for 2018 to Q2 2026, read from the exchanges' own sites by step 01d. Lending and profit for all 42 securities companies with filings, VPS (HOSE: VCK) included, via the same service; only the industry lending total is from the press (Vietstock). Accounts from VSDC annual reports and its homepage counter; index levels and traded value from Vietcap's price service; macro from the World Bank WDI API and NSO releases. Customer figures from the DNSE annual report 2025 and the 2026 plan from the AGM proposals. Findex from the World Bank Open Data API, source 28, country VNM, endpoint api.worldbank.org/v2/sources/28/country/VNM/series/all/data?format=json, which returned 19,878 observations of which 3,022 are non-null. Reviews from the public Google Play listings for vn.com.encapital.arrow, vn.com.vpbs.smartone and com.fpts.eztrade.</t>
  </si>
  <si>
    <t>How to read the colours</t>
  </si>
  <si>
    <t>Blue figures are inputs taken directly from a source. Green figures are links to another sheet. Black figures are formulas computed in this workbook. Yellow fill marks an assumption you may want to change. Editing a blue or yellow cell updates every black cell that depends on it.</t>
  </si>
  <si>
    <t>The review data</t>
  </si>
  <si>
    <t>867 DNSE reviews, 1,200 VPS and 177 FPTS, pulled 2026-09-23 and cut at 2026-09-21. The cleaning rule is written out in full on the 'Review analysis' sheet and was applied identically to all three applications, so the comparison is like for like. 197 DNSE reviews were removed as loan advertising, referral farming or duplicates.</t>
  </si>
  <si>
    <t>Survey waves covered</t>
  </si>
  <si>
    <t>2011, 2014, 2017, 2022 and 2024. Note the labelling: the round usually called Global Findex 2021 is filed under 2022 for Vietnam in the World Bank API, and Vietnam's 2021 slot is empty. This workbook uses the API's own year labels. The 2024 wave was published in the Global Findex 2025 release; fieldwork ran May to December 2024.</t>
  </si>
  <si>
    <t>Sample</t>
  </si>
  <si>
    <t>1,000 Vietnamese adults aged 15 and over, 199 variables in the underlying microdata file. All figures here are weighted population estimates, expressed as a percentage of adults aged 15+ unless the label says otherwise.</t>
  </si>
  <si>
    <t>The microdata</t>
  </si>
  <si>
    <t>This workbook holds published aggregates. The respondent-level file (1,000 rows, 199 columns) is a separate free download at microdata.worldbank.org/index.php/catalog/7998, reference VNM_2024_FINDEX_v02_M. Download that too if you want to do your own cross-tabulations.</t>
  </si>
  <si>
    <t>Why the segments matter</t>
  </si>
  <si>
    <t>Findex publishes every indicator broken down twelve ways: by sex, age band, education, income quintile group, urban or rural, and labour force status. That is a ready-made market segmentation. The 'Segments 2024' sheet is the core table.</t>
  </si>
  <si>
    <t>A caution on precision</t>
  </si>
  <si>
    <t>1,000 respondents split twelve ways leaves small cells. Treat differences of a few percentage points as noise and say so in your report. The large gaps, 30 points and more, are real.</t>
  </si>
  <si>
    <t>A caution on definitions</t>
  </si>
  <si>
    <t>Findex says 70.6% of Vietnamese adults aged 15+ had an account in 2024. The State Bank puts payment account penetration above 89% of people aged 15+ for H1 2026. The two are directly comparable in denominator and roughly 18 points apart. Both are defensible: one counts people who report having an account when surveyed, the other counts accounts on bank systems, which includes duplicates one person holds across banks. Findex separately finds only 2.1% of adults holding an inactive account, which does not close the gap. Do not mix them in one chart without saying which is which. Naming the discrepancy is worth marks under evidence transparency.</t>
  </si>
  <si>
    <t>Verification</t>
  </si>
  <si>
    <t>Every figure on the 'Vietnam reference' sheet was re-checked against primary or Vietnamese-language sources on 20 September 2026. Twelve claims changed on review, including the small-firm credit access ladder, the biometric verification count, bank asset sizes and the brokerage market share tables. Appendix C of the accompanying report lists each one.</t>
  </si>
  <si>
    <t>Licence</t>
  </si>
  <si>
    <t>World Bank Open Data, CC BY 4.0. Cite as: World Bank, Global Findex Database 2025. Reproducing it in a student report is fine; say where it came from.</t>
  </si>
  <si>
    <t>Sheets in this workbook</t>
  </si>
  <si>
    <t>DNSE financials</t>
  </si>
  <si>
    <t>Revenue, cost, profit and balance-sheet lines from the filed statements, with computed margins, revenue mix, funding cost and a quarterly series.</t>
  </si>
  <si>
    <t>DNSE statements</t>
  </si>
  <si>
    <t>Every line of DNSE's filed statements, Q1 2024 to Q2 2026, as pulled by step 01b.</t>
  </si>
  <si>
    <t>Market share</t>
  </si>
  <si>
    <t>HOSE, HNX and derivatives brokerage share for every firm in the top ten, second quarter of 2026.</t>
  </si>
  <si>
    <t>Market share history</t>
  </si>
  <si>
    <t>DNSE, VPS and tenth-place shares on each market by quarter, 2018 to Q2 2026, with DNSE's share of filed lending.</t>
  </si>
  <si>
    <t>Industry cross-section</t>
  </si>
  <si>
    <t>Lending balances and pre-tax profit for the largest securities firms, with shares of the industry total.</t>
  </si>
  <si>
    <t>Broker totals</t>
  </si>
  <si>
    <t>Lending, equity, revenue, brokerage and profit summed across every filing broker, by quarter from 2018.</t>
  </si>
  <si>
    <t>DNSE position</t>
  </si>
  <si>
    <t>The five share measures that define the monetisation gap, each against its own denominator.</t>
  </si>
  <si>
    <t>Market and macro</t>
  </si>
  <si>
    <t>Index levels, traded value, VSDC accounts with DNSE's share, World Bank indicators 2018 to 2025, NSO 2026.</t>
  </si>
  <si>
    <t>Review analysis</t>
  </si>
  <si>
    <t>Cleaning log, ratings by year, complaint themes and the three-app comparison.</t>
  </si>
  <si>
    <t>Review quotes</t>
  </si>
  <si>
    <t>Fifty selected reviews with rating, date, helpfulness votes and theme tags.</t>
  </si>
  <si>
    <t>Segment model</t>
  </si>
  <si>
    <t>The derived priority segment. Every index cell is a formula reading from Segments 2024.</t>
  </si>
  <si>
    <t>Segments 2024</t>
  </si>
  <si>
    <t>51 Findex indicators by all twelve Findex segments, latest wave.</t>
  </si>
  <si>
    <t>Segment gaps</t>
  </si>
  <si>
    <t>Computed gaps between rich and poor, urban and rural, and by education.</t>
  </si>
  <si>
    <t>National 2024</t>
  </si>
  <si>
    <t>Indicators the World Bank publishes only at national level for 2024.</t>
  </si>
  <si>
    <t>Trends</t>
  </si>
  <si>
    <t>Headline indicators across all five survey waves, 2011 to 2024.</t>
  </si>
  <si>
    <t>Vietnam reference</t>
  </si>
  <si>
    <t>Macro, banking, payments and capital-markets figures with sources and periods.</t>
  </si>
  <si>
    <t>Sources</t>
  </si>
  <si>
    <t>Where to get everything else, with links.</t>
  </si>
  <si>
    <t>Findex segment codes</t>
  </si>
  <si>
    <t>Indicator ids ending .1 to .12 are segment cuts of the base indicator: .1 women, .2 men, .3 age 15-24, .4 age 25+, .5 primary education or less, .6 secondary or more, .7 poorest 40%, .8 richest 60%, .9 rural, .10 urban, .11 out of the labour force, .12 in the labour force. A suffix of .s means the figure is a share of a sub-population rather than of all adults.</t>
  </si>
  <si>
    <t>DNSE Securities: reported financials</t>
  </si>
  <si>
    <t>VND billion unless stated. Blue cells are DNSE's filed statements, pulled line by line on 2026-09-24 by 01b_dnse_financials_fetch.py; every line is on the 'DNSE statements' sheet. Black cells are formulas. Q2 2026 is the KPMG-reviewed half year less the first quarter.</t>
  </si>
  <si>
    <t>Line</t>
  </si>
  <si>
    <t>FY2025</t>
  </si>
  <si>
    <t>Q1 2026</t>
  </si>
  <si>
    <t>Q2 2026</t>
  </si>
  <si>
    <t>H1 2026</t>
  </si>
  <si>
    <t>H1 as % of FY2025</t>
  </si>
  <si>
    <t>Note</t>
  </si>
  <si>
    <t>Operating revenue</t>
  </si>
  <si>
    <t>Interest on lending and receivables</t>
  </si>
  <si>
    <t>Brokerage commissions</t>
  </si>
  <si>
    <t>Majority derivatives</t>
  </si>
  <si>
    <t>Interest on held-to-maturity investments</t>
  </si>
  <si>
    <t>Gains on FVTPL financial assets</t>
  </si>
  <si>
    <t>Proprietary trading gains, before the losses below</t>
  </si>
  <si>
    <t>Other revenue</t>
  </si>
  <si>
    <t>Operating revenue less the four lines above: custody, advisory, underwriting and other</t>
  </si>
  <si>
    <t>Financial income</t>
  </si>
  <si>
    <t>Outside operating revenue: interest on demand deposits</t>
  </si>
  <si>
    <t>Revenue including financial income</t>
  </si>
  <si>
    <t>The basis of the 2026 plan (Proposal 05/2026: 'total revenue'). With other income of about 1.6 it gives the annual report's VND 1,467 billion for 2025</t>
  </si>
  <si>
    <t>Brokerage direct costs</t>
  </si>
  <si>
    <t>Costs are negative, as filed</t>
  </si>
  <si>
    <t>Losses on FVTPL financial assets</t>
  </si>
  <si>
    <t>Provisions and loan funding cost</t>
  </si>
  <si>
    <t>Template line 24 reports loan-loss provisions and the borrowing cost of the loan book as one figure. The loan-loss allowance below moves by a few billion a quarter, so most of this is funding cost</t>
  </si>
  <si>
    <t>Interest expense</t>
  </si>
  <si>
    <t>Company administration costs</t>
  </si>
  <si>
    <t>Pre-tax profit</t>
  </si>
  <si>
    <t>The quarterly statement of 20 July 2026 gave Q2 98.9 and H1 113.1. The half year reviewed by KPMG on 14 August gives H1 111.6, and Q2 here is that less Q1</t>
  </si>
  <si>
    <t>Profit after tax</t>
  </si>
  <si>
    <t>Margin loans and advances, period end</t>
  </si>
  <si>
    <t>Balance, not a flow. H1 equals the Q2 closing balance. Q2 2026 is a record for the firm</t>
  </si>
  <si>
    <t>Loan-loss allowance, period end</t>
  </si>
  <si>
    <t>Negative, as filed</t>
  </si>
  <si>
    <t>Shareholders' equity, period end</t>
  </si>
  <si>
    <t>Borrowings and bonds issued, period end</t>
  </si>
  <si>
    <t>Short-term borrowing plus bonds, short and long</t>
  </si>
  <si>
    <t>Customer cash held for trading, period end</t>
  </si>
  <si>
    <t>Off balance sheet</t>
  </si>
  <si>
    <t>Customer securities at VSDC, par value, period end</t>
  </si>
  <si>
    <t>Off balance sheet, at par value as the template requires, so it understates market value</t>
  </si>
  <si>
    <t>Computed ratios</t>
  </si>
  <si>
    <t>Ratio</t>
  </si>
  <si>
    <t>Pre-tax profit margin, per cent</t>
  </si>
  <si>
    <t>Falls from 23.3 in 2025 to 13.2 at the 2026 half year</t>
  </si>
  <si>
    <t>Interest on lending and receivables, share of revenue</t>
  </si>
  <si>
    <t>Brokerage commissions, share of revenue</t>
  </si>
  <si>
    <t>Interest on held-to-maturity investments, share of revenue</t>
  </si>
  <si>
    <t>Gains on FVTPL financial assets, share of revenue</t>
  </si>
  <si>
    <t>Lending, held-to-maturity and FVTPL income, share of revenue</t>
  </si>
  <si>
    <t>Revenue that depends on balance sheet size and market direction rather than on customer trading</t>
  </si>
  <si>
    <t>Brokerage result after direct costs, VND bn</t>
  </si>
  <si>
    <t>Negative in every quarter since 2022 Q3</t>
  </si>
  <si>
    <t>Lending to equity, per cent</t>
  </si>
  <si>
    <t>The regulatory ceiling on margin lending is 200 per cent of equity</t>
  </si>
  <si>
    <t>Customers, plan and yield</t>
  </si>
  <si>
    <t>Item</t>
  </si>
  <si>
    <t>Value</t>
  </si>
  <si>
    <t>Unit</t>
  </si>
  <si>
    <t>Source or formula</t>
  </si>
  <si>
    <t>Customer accounts, end 2025</t>
  </si>
  <si>
    <t>accounts</t>
  </si>
  <si>
    <t>DNSE annual report 2025, p. 29: 1,512,920 accounts at 31 December 2025</t>
  </si>
  <si>
    <t>Customer accounts, Q1 2026</t>
  </si>
  <si>
    <t>DNSE statement with Q1 2026 results, as reported by the press</t>
  </si>
  <si>
    <t>Customer accounts, H1 2026</t>
  </si>
  <si>
    <t>DNSE statement with H1 2026 results, 'over 1.7 million', as reported by the press</t>
  </si>
  <si>
    <t>New accounts opened, 2025</t>
  </si>
  <si>
    <t>DNSE annual report 2025, p. 29</t>
  </si>
  <si>
    <t>Share of new accounts opened, 2025</t>
  </si>
  <si>
    <t>per cent</t>
  </si>
  <si>
    <t>DNSE annual report 2025, p. 29: 518,514 of 2,573,945 market-wide</t>
  </si>
  <si>
    <t>Share of new accounts opened, Q1 2026</t>
  </si>
  <si>
    <t>DNSE statement with Q1 2026 results, 142,000 accounts, as reported by the press</t>
  </si>
  <si>
    <t>Active customers, December 2025</t>
  </si>
  <si>
    <t>DNSE annual report 2025, p. 30: used at least one product in the month</t>
  </si>
  <si>
    <t>Customers with net assets of VND 10 million or more, end 2025</t>
  </si>
  <si>
    <t>DNSE annual report 2025, p. 30</t>
  </si>
  <si>
    <t>2026 total revenue target</t>
  </si>
  <si>
    <t>VND bn</t>
  </si>
  <si>
    <t>Proposal 05/2026/TTr-DNSE-HDQT, approved by AGM Resolution 01/2026/NQ-DNSE-DHDCD, Article 9. Total revenue, including financial income</t>
  </si>
  <si>
    <t>2026 pre-tax profit target</t>
  </si>
  <si>
    <t>Proposal 05/2026/TTr-DNSE-HDQT, approved by AGM Resolution 01/2026/NQ-DNSE-DHDCD, Article 9</t>
  </si>
  <si>
    <t>Charter capital</t>
  </si>
  <si>
    <t>Filed statements, 30 June 2026, after the rights issue</t>
  </si>
  <si>
    <t>Customer assets under management, end 2025</t>
  </si>
  <si>
    <t>DNSE annual report 2025, p. 29, at market value. The filed statements carry customer securities at par value</t>
  </si>
  <si>
    <t>Derived measures</t>
  </si>
  <si>
    <t>Measure</t>
  </si>
  <si>
    <t>Definition</t>
  </si>
  <si>
    <t>Revenue per account, H1 2026, VND thousand</t>
  </si>
  <si>
    <t>Half-year operating revenue divided by accounts</t>
  </si>
  <si>
    <t>Brokerage revenue per account, H1 2026, VND thousand</t>
  </si>
  <si>
    <t>Half-year brokerage commissions divided by accounts</t>
  </si>
  <si>
    <t>Customer assets per account, end 2025, VND million</t>
  </si>
  <si>
    <t>Customer assets under management divided by accounts</t>
  </si>
  <si>
    <t>Active customers as a share of accounts, December 2025, per cent</t>
  </si>
  <si>
    <t>Customers who used at least one product in December 2025</t>
  </si>
  <si>
    <t>Customers with net assets of VND 10 million or more, share of accounts, per cent</t>
  </si>
  <si>
    <t>End 2025</t>
  </si>
  <si>
    <t>Customer cash per account, H1 2026, VND thousand</t>
  </si>
  <si>
    <t>Investors' cash held for trading at 30 June 2026 divided by accounts</t>
  </si>
  <si>
    <t>Implied annual yield on lending, per cent</t>
  </si>
  <si>
    <t>Half-year interest divided by the average of the end-2025, Q1 and Q2 closing balances, annualised. The numerator includes interest on receivables, so this slightly overstates the margin yield</t>
  </si>
  <si>
    <t>Estimated funding cost, H1 2026 annualised, per cent</t>
  </si>
  <si>
    <t>Interest expense plus template line 24, less the half-year rise in the loan-loss allowance, over average borrowings and bonds, annualised. Write-offs would make this overstate funding cost</t>
  </si>
  <si>
    <t>Lending spread over funding cost, percentage points</t>
  </si>
  <si>
    <t>Yield on lending less estimated funding cost</t>
  </si>
  <si>
    <t>Lending headroom to the 200 per cent ceiling, VND bn</t>
  </si>
  <si>
    <t>Twice equity less the lending balance, 30 June 2026</t>
  </si>
  <si>
    <t>H1 revenue as a share of the 2026 target, per cent</t>
  </si>
  <si>
    <t>Revenue including financial income, the plan's basis. Half-year pace would be 50</t>
  </si>
  <si>
    <t>H1 profit as a share of the 2026 target, per cent</t>
  </si>
  <si>
    <t>Half-year pace would be 50</t>
  </si>
  <si>
    <t>Pre-tax profit still required in H2 2026, VND bn</t>
  </si>
  <si>
    <t>Target less the half-year result</t>
  </si>
  <si>
    <t>H2 requirement as a multiple of H1</t>
  </si>
  <si>
    <t>Quarterly series</t>
  </si>
  <si>
    <t>Q3 2024</t>
  </si>
  <si>
    <t>Q4 2024</t>
  </si>
  <si>
    <t>Q1 2025</t>
  </si>
  <si>
    <t>Q2 2025</t>
  </si>
  <si>
    <t>Q3 2025</t>
  </si>
  <si>
    <t>Q4 2025</t>
  </si>
  <si>
    <t>Brokerage result after direct costs</t>
  </si>
  <si>
    <t>DNSE Securities: every line of the filed statements</t>
  </si>
  <si>
    <t>VND billion unless the unit column says otherwise. Pulled from Vietcap's data service on 2026-09-24 by 01b_dnse_financials_fetch.py; field codes are Vietcap's. The full history from Q1 2018 is in dnse_financials_quarterly.csv.</t>
  </si>
  <si>
    <t>Statement</t>
  </si>
  <si>
    <t>Field</t>
  </si>
  <si>
    <t>Line (Vietnamese)</t>
  </si>
  <si>
    <t>Line (English)</t>
  </si>
  <si>
    <t>Q1 2024</t>
  </si>
  <si>
    <t>Q2 2024</t>
  </si>
  <si>
    <t>income statement</t>
  </si>
  <si>
    <t>isa1</t>
  </si>
  <si>
    <t>DOANH THU HOẠT ĐỘNG</t>
  </si>
  <si>
    <t>OPERATING SALES</t>
  </si>
  <si>
    <t>iss115</t>
  </si>
  <si>
    <t xml:space="preserve">  Lãi từ các tài sản tài chính ghi nhận thông qua lãi/lỗ ( FVTPL)</t>
  </si>
  <si>
    <t xml:space="preserve">  Income from financial assets recognized through profit/loss (FVTPL)</t>
  </si>
  <si>
    <t>iss116</t>
  </si>
  <si>
    <t xml:space="preserve">    Lãi bán các tài sản tài chính FVTPL</t>
  </si>
  <si>
    <t xml:space="preserve">    Income from selling financial assets FVTPL</t>
  </si>
  <si>
    <t>iss117</t>
  </si>
  <si>
    <t xml:space="preserve">    Chênh lệch tăng đánh giá lại các TSTC thông qua lãi/lỗ</t>
  </si>
  <si>
    <t xml:space="preserve">    FVTPL revaluation gain</t>
  </si>
  <si>
    <t>iss118</t>
  </si>
  <si>
    <t xml:space="preserve">    Cổ tức, tiền lãi phát sinh từ tài sản tài chính FVTPL</t>
  </si>
  <si>
    <t xml:space="preserve">    Dividend, interest from FVTPL financial assets</t>
  </si>
  <si>
    <t>iss119</t>
  </si>
  <si>
    <t xml:space="preserve">  Lãi từ các khoản đầu tư nắm giữ đến ngày đáo hạn</t>
  </si>
  <si>
    <t xml:space="preserve">  Income from held to maturity investment (HTM)</t>
  </si>
  <si>
    <t>iss120</t>
  </si>
  <si>
    <t xml:space="preserve">  Lãi từ các khoản cho vay và phải thu</t>
  </si>
  <si>
    <t xml:space="preserve">  Income from loans and receivables</t>
  </si>
  <si>
    <t>iss42</t>
  </si>
  <si>
    <t xml:space="preserve">  Doanh thu nghiệp vụ môi giới chứng khoán</t>
  </si>
  <si>
    <t xml:space="preserve">  Revenue in Brokerage services</t>
  </si>
  <si>
    <t>iss44</t>
  </si>
  <si>
    <t xml:space="preserve">  Doanh thu nghiệp vụ bảo lãnh phát hành chứng khoán</t>
  </si>
  <si>
    <t xml:space="preserve">  Revenue in Underwriting services</t>
  </si>
  <si>
    <t>iss46</t>
  </si>
  <si>
    <t xml:space="preserve">  Doanh thu nghiệp vụ tư vấn đầu tư chứng khoán</t>
  </si>
  <si>
    <t xml:space="preserve">  Revenue in Stock Investment Advisory services</t>
  </si>
  <si>
    <t>iss47</t>
  </si>
  <si>
    <t xml:space="preserve">  Doanh thu lưu ký chứng khoán</t>
  </si>
  <si>
    <t xml:space="preserve">  Revenue in Securities custody services</t>
  </si>
  <si>
    <t>iss123</t>
  </si>
  <si>
    <t xml:space="preserve">  Doanh thu hoạt động tư vấn tài chính</t>
  </si>
  <si>
    <t xml:space="preserve">  Revenue in Financial Advisory services</t>
  </si>
  <si>
    <t>iss50</t>
  </si>
  <si>
    <t xml:space="preserve">  Doanh thu khác</t>
  </si>
  <si>
    <t xml:space="preserve">  Others revenue</t>
  </si>
  <si>
    <t>isa3</t>
  </si>
  <si>
    <t>Doanh thu thuần về hoạt động kinh doanh</t>
  </si>
  <si>
    <t>Net sales</t>
  </si>
  <si>
    <t>isa4</t>
  </si>
  <si>
    <t>CHI PHÍ HOẠT ĐỘNG</t>
  </si>
  <si>
    <t>OPERATING EXPENSE</t>
  </si>
  <si>
    <t>iss124</t>
  </si>
  <si>
    <t xml:space="preserve">  Lỗ các tài sản tài chính ghi nhận thông qua lãi lỗ (FVTPL)</t>
  </si>
  <si>
    <t xml:space="preserve">  Loss from financial assets recognized through profit/loss (FVTPL)</t>
  </si>
  <si>
    <t>iss125</t>
  </si>
  <si>
    <t xml:space="preserve">    Lỗ bán các tài sản tài chính</t>
  </si>
  <si>
    <t xml:space="preserve">    Loss from selling financial assets FVTPL</t>
  </si>
  <si>
    <t>iss126</t>
  </si>
  <si>
    <t xml:space="preserve">    Chênh lệch giảm đánh giá lại các TSTC thông qua lãi/lỗ</t>
  </si>
  <si>
    <t xml:space="preserve">    FVTPL financial assets revaluation loss</t>
  </si>
  <si>
    <t>iss127</t>
  </si>
  <si>
    <t xml:space="preserve">    Chi phí giao dịch mua các tài sản tài chính FVTPL</t>
  </si>
  <si>
    <t xml:space="preserve">    FVTPL financial assets purchase transaction costs</t>
  </si>
  <si>
    <t>iss168</t>
  </si>
  <si>
    <t xml:space="preserve">  CP dự phòng TSTC, xử lý tổn thất các khoản phải thu khó đòi là lỗ suy giảm TSTC và CP đi vay</t>
  </si>
  <si>
    <t xml:space="preserve">  Provision for losses from mortgage assets, uncollectible receivables, and loan expenses</t>
  </si>
  <si>
    <t>iss132</t>
  </si>
  <si>
    <t xml:space="preserve">  Chi phí hoạt động tự doanh</t>
  </si>
  <si>
    <t xml:space="preserve">  Proprietary trading services expenses</t>
  </si>
  <si>
    <t>iss133</t>
  </si>
  <si>
    <t xml:space="preserve">  Chi phí nghiệp vụ môi giới chứng khoán</t>
  </si>
  <si>
    <t xml:space="preserve">  Brokerage expenses</t>
  </si>
  <si>
    <t>iss134</t>
  </si>
  <si>
    <t xml:space="preserve">  Chi phí nghiệp vụ bảo lãnh, đại lý phát hành chứng khoán</t>
  </si>
  <si>
    <t xml:space="preserve">  Underwriting, securities issuance expenses</t>
  </si>
  <si>
    <t>iss135</t>
  </si>
  <si>
    <t xml:space="preserve">  Chi phí nghiệp vụ tư vấn đầu tư chứng khoán</t>
  </si>
  <si>
    <t xml:space="preserve">  Expenses for securities advisory</t>
  </si>
  <si>
    <t>iss137</t>
  </si>
  <si>
    <t xml:space="preserve">  Chi phí nghiệp vụ lưu ký chứng khoán</t>
  </si>
  <si>
    <t xml:space="preserve">  Investors' securities depository expenses</t>
  </si>
  <si>
    <t>iss139</t>
  </si>
  <si>
    <t xml:space="preserve">  Chi phí các dịch vụ khác</t>
  </si>
  <si>
    <t xml:space="preserve">  Other expenses</t>
  </si>
  <si>
    <t>isa5</t>
  </si>
  <si>
    <t>LỢI NHUẬN GỘP</t>
  </si>
  <si>
    <t>GROSS PROFIT</t>
  </si>
  <si>
    <t>iss141</t>
  </si>
  <si>
    <t>DOANH THU HOẠT ĐỘNG TÀI CHÍNH</t>
  </si>
  <si>
    <t>REVENUE FROM FINANCIAL ACTIVITIES</t>
  </si>
  <si>
    <t>iss142</t>
  </si>
  <si>
    <t xml:space="preserve">  Chênh lệch lãi tỷ giá hối đoái đã và chưa thực hiện</t>
  </si>
  <si>
    <t xml:space="preserve">  Realized and unrealized foreign exchange gain</t>
  </si>
  <si>
    <t>iss143</t>
  </si>
  <si>
    <t xml:space="preserve">  Doanh thu, dự thu cổ tức, lãi tiền gửi không cố định phát sinh trong kỳ</t>
  </si>
  <si>
    <t xml:space="preserve">  Income from non fixed accrued dividend and interest</t>
  </si>
  <si>
    <t>iss145</t>
  </si>
  <si>
    <t xml:space="preserve">  Doanh thu khác về đầu tư</t>
  </si>
  <si>
    <t xml:space="preserve">  Other revenue from investments</t>
  </si>
  <si>
    <t>iss146</t>
  </si>
  <si>
    <t>CHI PHÍ TÀI CHÍNH</t>
  </si>
  <si>
    <t>EXPENSE FROM FINANCIAL ACTIVITIES</t>
  </si>
  <si>
    <t>iss147</t>
  </si>
  <si>
    <t xml:space="preserve">  Chênh lệch lỗ tỷ giá hối đoái đã và chưa thực hiện</t>
  </si>
  <si>
    <t xml:space="preserve">  Realized and unrealized foreign exchange loss</t>
  </si>
  <si>
    <t>iss148</t>
  </si>
  <si>
    <t xml:space="preserve">  Chi phí lãi vay</t>
  </si>
  <si>
    <t xml:space="preserve">  Interests expenses</t>
  </si>
  <si>
    <t>iss151</t>
  </si>
  <si>
    <t xml:space="preserve">  Chi phí đầu tư khác</t>
  </si>
  <si>
    <t xml:space="preserve">  Other investment expenses</t>
  </si>
  <si>
    <t>isa10</t>
  </si>
  <si>
    <t>CHI PHÍ QUẢN LÝ CÔNG TY CHỨNG KHOÁN</t>
  </si>
  <si>
    <t>GENERAL AND ADMINISTRATIVE EXPENSES</t>
  </si>
  <si>
    <t>isa11</t>
  </si>
  <si>
    <t>KẾT QUẢ HOẠT ĐỘNG</t>
  </si>
  <si>
    <t>OPERATING PROFIT/(LOSS)</t>
  </si>
  <si>
    <t>isa16</t>
  </si>
  <si>
    <t>TỔNG LỢI NHUẬN KẾ TOÁN TRƯỚC THUẾ</t>
  </si>
  <si>
    <t>NET ACCOUNTING PROFIT/(LOSS) BEFORE TAX</t>
  </si>
  <si>
    <t>iss153</t>
  </si>
  <si>
    <t xml:space="preserve">  Lợi nhuận đã thực hiện</t>
  </si>
  <si>
    <t xml:space="preserve">  Realized profit</t>
  </si>
  <si>
    <t>iss154</t>
  </si>
  <si>
    <t xml:space="preserve">  Lợi nhuận chưa thực hiện</t>
  </si>
  <si>
    <t xml:space="preserve">  Unrealized profit</t>
  </si>
  <si>
    <t>isa17</t>
  </si>
  <si>
    <t xml:space="preserve">  Chi phí thuế thu nhập hiện hành</t>
  </si>
  <si>
    <t xml:space="preserve">  Business income tax - current</t>
  </si>
  <si>
    <t>isa18</t>
  </si>
  <si>
    <t xml:space="preserve">  Chi phí thuế thu nhập hoãn lại</t>
  </si>
  <si>
    <t xml:space="preserve">  Business income tax - deferred</t>
  </si>
  <si>
    <t>isa20</t>
  </si>
  <si>
    <t>LỢI NHUẬN KẾ TOÁN SAU THUẾ</t>
  </si>
  <si>
    <t>NET PROFIT/(LOSS) AFTER TAX</t>
  </si>
  <si>
    <t>isa22</t>
  </si>
  <si>
    <t xml:space="preserve">  Lợi nhuận sau thuế phân bổ cho chủ sở hữu</t>
  </si>
  <si>
    <t xml:space="preserve">  Attributable to parent company</t>
  </si>
  <si>
    <t>iss164</t>
  </si>
  <si>
    <t>Tổng thu nhập toàn diện</t>
  </si>
  <si>
    <t>Total comprehensive income</t>
  </si>
  <si>
    <t>iss165</t>
  </si>
  <si>
    <t xml:space="preserve">  Thu nhập toàn diện phân bổ cho chủ sở hữu</t>
  </si>
  <si>
    <t xml:space="preserve">  Comprehensive income distributed to shareholders</t>
  </si>
  <si>
    <t>balance sheet</t>
  </si>
  <si>
    <t>bsa1</t>
  </si>
  <si>
    <t>TÀI SẢN NGẮN HẠN</t>
  </si>
  <si>
    <t>CURRENT ASSETS</t>
  </si>
  <si>
    <t>bss214</t>
  </si>
  <si>
    <t>Tài sản tài chính ngắn hạn</t>
  </si>
  <si>
    <t>Short term financial assets</t>
  </si>
  <si>
    <t>bsa2</t>
  </si>
  <si>
    <t xml:space="preserve">  Tiền và tương đương tiền</t>
  </si>
  <si>
    <t xml:space="preserve">  Cash and cash equivalents</t>
  </si>
  <si>
    <t>bsa3</t>
  </si>
  <si>
    <t xml:space="preserve">    Tiền</t>
  </si>
  <si>
    <t xml:space="preserve">    Cash</t>
  </si>
  <si>
    <t>bsa4</t>
  </si>
  <si>
    <t xml:space="preserve">    Các khoản tương đương tiền</t>
  </si>
  <si>
    <t xml:space="preserve">    Cash equivalents</t>
  </si>
  <si>
    <t>bsa6</t>
  </si>
  <si>
    <t xml:space="preserve">  Các tài sản tài chính ghi nhận thông qua lãi lỗ (FVTPL)</t>
  </si>
  <si>
    <t xml:space="preserve">  Financial assets at fair value through profit or loss (FVTPL)</t>
  </si>
  <si>
    <t>bsb108</t>
  </si>
  <si>
    <t xml:space="preserve">  Các khoản đầu tư nắm giữ đến ngày đáo hạn (HTM)</t>
  </si>
  <si>
    <t xml:space="preserve">  Held-to-maturity investment</t>
  </si>
  <si>
    <t>bss215</t>
  </si>
  <si>
    <t xml:space="preserve">  Các khoản cho vay</t>
  </si>
  <si>
    <t xml:space="preserve">  Loans</t>
  </si>
  <si>
    <t>bsa7</t>
  </si>
  <si>
    <t xml:space="preserve">  Dự phòng suy giảm giá trị tài sản tài chính và tài sản thế chấp</t>
  </si>
  <si>
    <t xml:space="preserve">  Provision for diminution</t>
  </si>
  <si>
    <t>bsa8</t>
  </si>
  <si>
    <t xml:space="preserve">  Tổng các khoản phải thu</t>
  </si>
  <si>
    <t xml:space="preserve">  Accounts receivable</t>
  </si>
  <si>
    <t>bss217</t>
  </si>
  <si>
    <t xml:space="preserve">    Các khoản phải thu (từ 2016)</t>
  </si>
  <si>
    <t xml:space="preserve">    Receivables (from 2016)</t>
  </si>
  <si>
    <t>bss218</t>
  </si>
  <si>
    <t xml:space="preserve">    Phải thu bán các tài sản tài chính</t>
  </si>
  <si>
    <t xml:space="preserve">    Account receivables</t>
  </si>
  <si>
    <t>bss219</t>
  </si>
  <si>
    <t xml:space="preserve">    Phải thu và dự thu cổ tức, tiền lãi các tài sản tài chính</t>
  </si>
  <si>
    <t xml:space="preserve">    Receivables and accrued dividend/interest of financial assets</t>
  </si>
  <si>
    <t>bss222</t>
  </si>
  <si>
    <t xml:space="preserve">    Dự thu cổ tức , tiền lãi chưa đến ngày nhận</t>
  </si>
  <si>
    <t xml:space="preserve">    Undue accrued dividend/interest</t>
  </si>
  <si>
    <t>bsa10</t>
  </si>
  <si>
    <t xml:space="preserve">    Trả trước người bán</t>
  </si>
  <si>
    <t xml:space="preserve">    Prepayments to suppliers</t>
  </si>
  <si>
    <t>bss224</t>
  </si>
  <si>
    <t xml:space="preserve">    Phải thu các dịch vụ CTCK cung cấp</t>
  </si>
  <si>
    <t xml:space="preserve">    Receivables form services provided by the stock company</t>
  </si>
  <si>
    <t>bsa13</t>
  </si>
  <si>
    <t xml:space="preserve">    Phải thu khác</t>
  </si>
  <si>
    <t xml:space="preserve">    Other receivables</t>
  </si>
  <si>
    <t>bss226</t>
  </si>
  <si>
    <t xml:space="preserve">    Dự phòng suy giảm giá trị các khoản phải thu</t>
  </si>
  <si>
    <t xml:space="preserve">    Provision for short term receivables</t>
  </si>
  <si>
    <t>bsa18</t>
  </si>
  <si>
    <t>Tài sản ngắn hạn khác</t>
  </si>
  <si>
    <t>Other current assets</t>
  </si>
  <si>
    <t>bss227</t>
  </si>
  <si>
    <t xml:space="preserve">  Tạm ứng</t>
  </si>
  <si>
    <t xml:space="preserve">  Advance</t>
  </si>
  <si>
    <t>bss228</t>
  </si>
  <si>
    <t xml:space="preserve">  Vật tư văn phòng, công cụ, dụng cụ</t>
  </si>
  <si>
    <t xml:space="preserve">  Tools and equipments</t>
  </si>
  <si>
    <t>bsa19</t>
  </si>
  <si>
    <t xml:space="preserve">  Chi phí trả trước ngắn hạn</t>
  </si>
  <si>
    <t xml:space="preserve">  Short-term prepayments</t>
  </si>
  <si>
    <t>bss229</t>
  </si>
  <si>
    <t xml:space="preserve">  Cầm cố, thế chấp, ký quý , ký cược ngắn hạn</t>
  </si>
  <si>
    <t xml:space="preserve">  Short term Collaterals</t>
  </si>
  <si>
    <t>bsa23</t>
  </si>
  <si>
    <t>TÀI SẢN DÀI HẠN</t>
  </si>
  <si>
    <t>LONG-TERM ASSETS</t>
  </si>
  <si>
    <t>bss231</t>
  </si>
  <si>
    <t>Tài sản tài chính dài hạn</t>
  </si>
  <si>
    <t>Long term financial assets</t>
  </si>
  <si>
    <t>bsa43</t>
  </si>
  <si>
    <t xml:space="preserve">  Đầu tư dài hạn</t>
  </si>
  <si>
    <t xml:space="preserve">  Long-term investments</t>
  </si>
  <si>
    <t>bsa29</t>
  </si>
  <si>
    <t>Tài sản cố định</t>
  </si>
  <si>
    <t>Fixed assets</t>
  </si>
  <si>
    <t>bsa30</t>
  </si>
  <si>
    <t xml:space="preserve">  GTCL TSCĐ hữu hình</t>
  </si>
  <si>
    <t xml:space="preserve">  Tangible fixed assets</t>
  </si>
  <si>
    <t>bsa31</t>
  </si>
  <si>
    <t xml:space="preserve">    Nguyên giá TSCĐ hữu hình</t>
  </si>
  <si>
    <t xml:space="preserve">    Historical Cost</t>
  </si>
  <si>
    <t>bsa32</t>
  </si>
  <si>
    <t xml:space="preserve">    Khấu hao lũy kế TSCĐ hữu hình</t>
  </si>
  <si>
    <t xml:space="preserve">    Accumulated depreciation</t>
  </si>
  <si>
    <t>bsa33</t>
  </si>
  <si>
    <t xml:space="preserve">  GTCL Tài sản thuê tài chính</t>
  </si>
  <si>
    <t xml:space="preserve">  Finance lease assets</t>
  </si>
  <si>
    <t>bsa34</t>
  </si>
  <si>
    <t xml:space="preserve">    Nguyên giá tài sản thuê tài chính</t>
  </si>
  <si>
    <t>bsa35</t>
  </si>
  <si>
    <t xml:space="preserve">    Khấu hao lũy kế tài sản thuê tài chính</t>
  </si>
  <si>
    <t>bsa36</t>
  </si>
  <si>
    <t xml:space="preserve">  GTCL tài sản cố định vô hình</t>
  </si>
  <si>
    <t xml:space="preserve">  Intangible fixed assets</t>
  </si>
  <si>
    <t>bsa37</t>
  </si>
  <si>
    <t xml:space="preserve">    Nguyên giá TSCĐ vô hình</t>
  </si>
  <si>
    <t>bsa38</t>
  </si>
  <si>
    <t xml:space="preserve">    Khấu khao lũy kế TSCĐ vô hình</t>
  </si>
  <si>
    <t>bsa163</t>
  </si>
  <si>
    <t>Tài sản dở dang dài hạn</t>
  </si>
  <si>
    <t>Long-term incomplete assets</t>
  </si>
  <si>
    <t>bsa188</t>
  </si>
  <si>
    <t xml:space="preserve">  Chi phí xây dựng cơ bản dở dang</t>
  </si>
  <si>
    <t xml:space="preserve">  Construction in progress</t>
  </si>
  <si>
    <t>bsa49</t>
  </si>
  <si>
    <t>Tài sản dài hạn khác</t>
  </si>
  <si>
    <t>Other long-term assets</t>
  </si>
  <si>
    <t>bss236</t>
  </si>
  <si>
    <t xml:space="preserve">  Cầm cố, thế chấp, kỹ quỹ, Ký cược dài hạn</t>
  </si>
  <si>
    <t xml:space="preserve">  Long term collaterals</t>
  </si>
  <si>
    <t>bsa50</t>
  </si>
  <si>
    <t xml:space="preserve">  Chi phí trả trước dài hạn</t>
  </si>
  <si>
    <t xml:space="preserve">  Long-term prepayments</t>
  </si>
  <si>
    <t>bss212</t>
  </si>
  <si>
    <t xml:space="preserve">  Tiền chi nộp Quỹ Hỗ trợ thanh toán</t>
  </si>
  <si>
    <t xml:space="preserve">  Payments to Settlement Assistance Fund</t>
  </si>
  <si>
    <t>bsa52</t>
  </si>
  <si>
    <t xml:space="preserve">  Các tài sản dài hạn khác</t>
  </si>
  <si>
    <t xml:space="preserve">  Other long-term assets</t>
  </si>
  <si>
    <t>bsa53</t>
  </si>
  <si>
    <t>TỔNG CỘNG TÀI SẢN</t>
  </si>
  <si>
    <t>TOTAL ASSETS</t>
  </si>
  <si>
    <t>bsa54</t>
  </si>
  <si>
    <t>NỢ PHẢI TRẢ</t>
  </si>
  <si>
    <t>LIABILITIES</t>
  </si>
  <si>
    <t>bsa55</t>
  </si>
  <si>
    <t>Nợ phải trả ngắn hạn</t>
  </si>
  <si>
    <t>Current liabilities</t>
  </si>
  <si>
    <t>bsa56</t>
  </si>
  <si>
    <t xml:space="preserve">  Vay và nợ thuê tài sản tài chính ngắn hạn</t>
  </si>
  <si>
    <t xml:space="preserve">  Short-term borrowings</t>
  </si>
  <si>
    <t>bss238</t>
  </si>
  <si>
    <t xml:space="preserve">    Vay ngắn hạn</t>
  </si>
  <si>
    <t xml:space="preserve">    Short term borrowings</t>
  </si>
  <si>
    <t>bss239</t>
  </si>
  <si>
    <t xml:space="preserve">    Nợ thuê tài sản tài chính ngắn hạn</t>
  </si>
  <si>
    <t xml:space="preserve">    Short term finance lease</t>
  </si>
  <si>
    <t>bss242</t>
  </si>
  <si>
    <t xml:space="preserve">  Trái phiếu phát hành ngắn hạn</t>
  </si>
  <si>
    <t xml:space="preserve">  Short term bonds issued</t>
  </si>
  <si>
    <t>bss135</t>
  </si>
  <si>
    <t xml:space="preserve">  Phải trả hoạt động giao dịch chứng khoán</t>
  </si>
  <si>
    <t xml:space="preserve">  Payables to securities trading</t>
  </si>
  <si>
    <t>bsa57</t>
  </si>
  <si>
    <t xml:space="preserve">  Phải trả người bán ngắn hạn</t>
  </si>
  <si>
    <t xml:space="preserve">  Trade accounts payable</t>
  </si>
  <si>
    <t>bsa58</t>
  </si>
  <si>
    <t xml:space="preserve">  Người mua trả tiền trước ngắn hạn</t>
  </si>
  <si>
    <t xml:space="preserve">  Advances from customers</t>
  </si>
  <si>
    <t>bsa59</t>
  </si>
  <si>
    <t xml:space="preserve">  Thuế và các khoản phải nộp nhà nước</t>
  </si>
  <si>
    <t xml:space="preserve">  Taxes and other payable to State Budget</t>
  </si>
  <si>
    <t>bsa60</t>
  </si>
  <si>
    <t xml:space="preserve">  Phải trả người lao động</t>
  </si>
  <si>
    <t xml:space="preserve">  Payable to employees</t>
  </si>
  <si>
    <t>bss245</t>
  </si>
  <si>
    <t xml:space="preserve">  Các khoản trích nộp phúc lợi nhân viên</t>
  </si>
  <si>
    <t xml:space="preserve">  Employees' welfare payable to authorities</t>
  </si>
  <si>
    <t>bsa61</t>
  </si>
  <si>
    <t xml:space="preserve">  Chi phí phải trả ngắn hạn</t>
  </si>
  <si>
    <t xml:space="preserve">  Accrued expenses</t>
  </si>
  <si>
    <t>bss246</t>
  </si>
  <si>
    <t xml:space="preserve">  Nhận ký quỹ, ký cược ngắn hạn</t>
  </si>
  <si>
    <t xml:space="preserve">  Short term collaterals received</t>
  </si>
  <si>
    <t>bsa64</t>
  </si>
  <si>
    <t xml:space="preserve">  Các khoản phải trả, phải nộp khác ngắn hạn</t>
  </si>
  <si>
    <t xml:space="preserve">  Other payables</t>
  </si>
  <si>
    <t>bsa66</t>
  </si>
  <si>
    <t xml:space="preserve">  Quỹ khen thưởng phúc lợi</t>
  </si>
  <si>
    <t xml:space="preserve">  Bonus and welfare funds</t>
  </si>
  <si>
    <t>bsa67</t>
  </si>
  <si>
    <t>Nợ phải trả dài hạn</t>
  </si>
  <si>
    <t>Long-term liabilities</t>
  </si>
  <si>
    <t>bsa71</t>
  </si>
  <si>
    <t xml:space="preserve">  Vay và nợ thuê tài sản tài chính dài hạn</t>
  </si>
  <si>
    <t xml:space="preserve">  Long-term borrowings</t>
  </si>
  <si>
    <t>bss248</t>
  </si>
  <si>
    <t xml:space="preserve">    Nợ thuê tài chính dài hạn</t>
  </si>
  <si>
    <t xml:space="preserve">    Long term financial lease</t>
  </si>
  <si>
    <t>bss250</t>
  </si>
  <si>
    <t xml:space="preserve">  Trái phiếu phát hành dài hạn</t>
  </si>
  <si>
    <t xml:space="preserve">  Long term bonds</t>
  </si>
  <si>
    <t>bsa72</t>
  </si>
  <si>
    <t xml:space="preserve">  Thuế thu nhập hoãn lại phải trả</t>
  </si>
  <si>
    <t xml:space="preserve">  Deferred income tax liabilities</t>
  </si>
  <si>
    <t>bsa78</t>
  </si>
  <si>
    <t>Vốn chủ sở hữu</t>
  </si>
  <si>
    <t>Owner's Equity</t>
  </si>
  <si>
    <t>bss252</t>
  </si>
  <si>
    <t xml:space="preserve">  Vốn đầu tư của chủ sở hữu</t>
  </si>
  <si>
    <t xml:space="preserve">  Shareholders' equity</t>
  </si>
  <si>
    <t>bsa80</t>
  </si>
  <si>
    <t xml:space="preserve">  Vốn góp của chủ sở hữu</t>
  </si>
  <si>
    <t xml:space="preserve">  Paid-in capital</t>
  </si>
  <si>
    <t>bsa175</t>
  </si>
  <si>
    <t xml:space="preserve">  Cổ phiếu phổ thông có quyền biểu quyết</t>
  </si>
  <si>
    <t xml:space="preserve">  Common shares</t>
  </si>
  <si>
    <t>bsa81</t>
  </si>
  <si>
    <t xml:space="preserve">  Thặng dư vốn cổ phần</t>
  </si>
  <si>
    <t xml:space="preserve">  Capital surplus</t>
  </si>
  <si>
    <t>bss253</t>
  </si>
  <si>
    <t xml:space="preserve">  Quỹ dự trữ bổ sung vốn điều lệ</t>
  </si>
  <si>
    <t xml:space="preserve">  Charter reserve</t>
  </si>
  <si>
    <t>bsa87</t>
  </si>
  <si>
    <t xml:space="preserve">  Quỹ dự phòng tài chính và rủi ro nghiệp vụ</t>
  </si>
  <si>
    <t xml:space="preserve">  Financial reserve funds</t>
  </si>
  <si>
    <t>bsa90</t>
  </si>
  <si>
    <t xml:space="preserve">  Lợi nhuận chưa phân phối</t>
  </si>
  <si>
    <t xml:space="preserve">  Undistributed earnings</t>
  </si>
  <si>
    <t>bss254</t>
  </si>
  <si>
    <t xml:space="preserve">  Realized gain</t>
  </si>
  <si>
    <t>bsa178</t>
  </si>
  <si>
    <t xml:space="preserve">  LNST chưa phân phối kỳ này</t>
  </si>
  <si>
    <t xml:space="preserve">  Current period undistributed earnings</t>
  </si>
  <si>
    <t>bss255</t>
  </si>
  <si>
    <t xml:space="preserve">  Unrealized gain</t>
  </si>
  <si>
    <t>bsa96</t>
  </si>
  <si>
    <t>TỔNG CỘNG NGUỒN VỐN</t>
  </si>
  <si>
    <t>TOTAL RESOURCES</t>
  </si>
  <si>
    <t>nos360</t>
  </si>
  <si>
    <t xml:space="preserve">  Cổ phiếu đang lưu hành (Số lượng)</t>
  </si>
  <si>
    <t xml:space="preserve">  Outstanding Shares (Volume)</t>
  </si>
  <si>
    <t>units</t>
  </si>
  <si>
    <t>nos362</t>
  </si>
  <si>
    <t xml:space="preserve">  Tài sản tài chính niêm yết/đăng ký giao dịch tại VSD của CTCK</t>
  </si>
  <si>
    <t xml:space="preserve">  Financial assets of company listed on Stock Exchanges or registered at the VSD</t>
  </si>
  <si>
    <t>nos370</t>
  </si>
  <si>
    <t xml:space="preserve">  Tài sản tài chính đã lưu ký tại VSD và chưa giao dịch của CTCK</t>
  </si>
  <si>
    <t xml:space="preserve">  Financial assets deposited at VSD and not yet available for transaction</t>
  </si>
  <si>
    <t>nos375</t>
  </si>
  <si>
    <t xml:space="preserve">  Tài sản tài chính chờ về của CTCK</t>
  </si>
  <si>
    <t xml:space="preserve">  Financial assets with pending receipt (of the assets)</t>
  </si>
  <si>
    <t>nos378</t>
  </si>
  <si>
    <t xml:space="preserve">  Tài sản tài chính được hưởng quyền của CTCK</t>
  </si>
  <si>
    <t xml:space="preserve">  Financial assets with rights entitled of the Securities company</t>
  </si>
  <si>
    <t>nos379</t>
  </si>
  <si>
    <t xml:space="preserve">  Tài sản tài chính niêm yết/đăng ký giao dịch tại VSD của NĐT</t>
  </si>
  <si>
    <t xml:space="preserve">  Financial assets listed/registered at VSD of the investor</t>
  </si>
  <si>
    <t>nos380</t>
  </si>
  <si>
    <t xml:space="preserve">  Tài sản tài chính giao dịch tự do chuyển nhượng</t>
  </si>
  <si>
    <t xml:space="preserve">  Financial assets that can be freely traded</t>
  </si>
  <si>
    <t>nos381</t>
  </si>
  <si>
    <t xml:space="preserve">  Tài sản tài chính hạn chế chuyển nhượng</t>
  </si>
  <si>
    <t xml:space="preserve">  Financial assets of which trading is restricted</t>
  </si>
  <si>
    <t>nos382</t>
  </si>
  <si>
    <t xml:space="preserve">  Tài sản tài chính giao dịch cầm cố</t>
  </si>
  <si>
    <t xml:space="preserve">  Collateral financial assets</t>
  </si>
  <si>
    <t>nos383</t>
  </si>
  <si>
    <t xml:space="preserve">  Tài sản tài chính phong tỏa, tạm giữ</t>
  </si>
  <si>
    <t xml:space="preserve">  Financial assets frozen/on custody</t>
  </si>
  <si>
    <t>nos384</t>
  </si>
  <si>
    <t xml:space="preserve">  Tài sản tài chính chờ thanh toán</t>
  </si>
  <si>
    <t xml:space="preserve">  Financial assets with pending payment</t>
  </si>
  <si>
    <t>nos386</t>
  </si>
  <si>
    <t xml:space="preserve">  Tài sản tài chính đã lưu ký tại VSD và chưa giao dịch của NĐT</t>
  </si>
  <si>
    <t xml:space="preserve">  Financial assets deposited at VSD, not yet available for transaction</t>
  </si>
  <si>
    <t>nos387</t>
  </si>
  <si>
    <t xml:space="preserve">  Tài sản tài chính đã lưu ký tại VSD và chưa giao dịch, tự do chuyển nhượng</t>
  </si>
  <si>
    <t xml:space="preserve">  FA deposited at VSD, not yet available for transaction, freely traded</t>
  </si>
  <si>
    <t>nos388</t>
  </si>
  <si>
    <t xml:space="preserve">  Tài sản tài chính đã lưu ký tại VSD và chưa giao dịch, hạn chế chuyển nhượng</t>
  </si>
  <si>
    <t xml:space="preserve">  FA deposited at VSD, not yet available for transaction, trading restricted</t>
  </si>
  <si>
    <t>nos391</t>
  </si>
  <si>
    <t xml:space="preserve">  Tài sản tài chính chờ về của NĐT</t>
  </si>
  <si>
    <t>nos394</t>
  </si>
  <si>
    <t xml:space="preserve">  Tài sản tài chính được hưởng quyền của Nhà đầu tư</t>
  </si>
  <si>
    <t xml:space="preserve">  Enititled financial assets of investors</t>
  </si>
  <si>
    <t>nos395</t>
  </si>
  <si>
    <t xml:space="preserve">  Tiền gửi của khách hàng</t>
  </si>
  <si>
    <t xml:space="preserve">  Customers's deposits</t>
  </si>
  <si>
    <t>nos396</t>
  </si>
  <si>
    <t xml:space="preserve">  Tiền gửi của Nhà đầu tư về giao dịch chứng khoán</t>
  </si>
  <si>
    <t xml:space="preserve">  Customers's deposits for securities trading</t>
  </si>
  <si>
    <t>nos399</t>
  </si>
  <si>
    <t xml:space="preserve">  Tiền gửi tổng hợp giao dịch chứng khoán cho khách hàng</t>
  </si>
  <si>
    <t xml:space="preserve">  Investors' synthesizing deposits for securities trading activities</t>
  </si>
  <si>
    <t>nos413</t>
  </si>
  <si>
    <t xml:space="preserve">  Phải trả cổ tức, gốc và lãi trái phiếu</t>
  </si>
  <si>
    <t xml:space="preserve">  Dividend, bond principal and interest payables</t>
  </si>
  <si>
    <t>cash flow</t>
  </si>
  <si>
    <t>cfa1</t>
  </si>
  <si>
    <t xml:space="preserve">  LỢI NHUẬN TRƯỚC THUẾ</t>
  </si>
  <si>
    <t xml:space="preserve">  NET PROFIT/(LOSS) BEFORE TAX</t>
  </si>
  <si>
    <t>cfs165</t>
  </si>
  <si>
    <t>Điều chỉnh cho các khoản</t>
  </si>
  <si>
    <t>Adjustment</t>
  </si>
  <si>
    <t>cfa2</t>
  </si>
  <si>
    <t xml:space="preserve">  Khấu hao tài sản cố định</t>
  </si>
  <si>
    <t xml:space="preserve">  Depreciation and amortization</t>
  </si>
  <si>
    <t>cfa3</t>
  </si>
  <si>
    <t xml:space="preserve">  Các khoản dự phòng</t>
  </si>
  <si>
    <t xml:space="preserve">  Provisions</t>
  </si>
  <si>
    <t>cfa7</t>
  </si>
  <si>
    <t xml:space="preserve">  Interest expense</t>
  </si>
  <si>
    <t>cfa6</t>
  </si>
  <si>
    <t xml:space="preserve">  Lãi, lỗ hoạt động đầu tư</t>
  </si>
  <si>
    <t xml:space="preserve">  Profit/(loss) from investing activities</t>
  </si>
  <si>
    <t>cfa8</t>
  </si>
  <si>
    <t xml:space="preserve">  Dự thu lãi và cổ tức</t>
  </si>
  <si>
    <t xml:space="preserve">  Interest income and dividend</t>
  </si>
  <si>
    <t>cfs167</t>
  </si>
  <si>
    <t>Tăng các chi phí phi tiền tệ</t>
  </si>
  <si>
    <t>Increase in non-cash expense</t>
  </si>
  <si>
    <t>cfs168</t>
  </si>
  <si>
    <t xml:space="preserve">  Lỗ đánh giá giá trị các tài sản tài chính ghi nhận thông qua lãi/lỗ FVTPL</t>
  </si>
  <si>
    <t xml:space="preserve">  Loss on valuation of fair value through profit/loss financial assets</t>
  </si>
  <si>
    <t>cfs182</t>
  </si>
  <si>
    <t>Giảm các doanh thu phi tiền tệ</t>
  </si>
  <si>
    <t>Decrease in non-cash revenue</t>
  </si>
  <si>
    <t>cfs183</t>
  </si>
  <si>
    <t xml:space="preserve">  Lãi đánh giá giá trị các tài sản chính ghi nhận thông qua lãi/lỗ FVTPL</t>
  </si>
  <si>
    <t xml:space="preserve">  Profit from revaluation of fair value through profit and loss financial assets</t>
  </si>
  <si>
    <t>cfa9</t>
  </si>
  <si>
    <t>Lợi nhuận từ hoạt động kinh doanh trước thay đổi vốn lưu động</t>
  </si>
  <si>
    <t>Operating profit/(loss) before changes in WC</t>
  </si>
  <si>
    <t>cfs195</t>
  </si>
  <si>
    <t xml:space="preserve">  Tăng (giảm) tài sản tài chính ghi nhận thông qua lãi/ lỗ (FVTPL)</t>
  </si>
  <si>
    <t xml:space="preserve">  Increase (decrease) in fair value through profit and loss financial assets</t>
  </si>
  <si>
    <t>cfs196</t>
  </si>
  <si>
    <t xml:space="preserve">  Tăng (giảm) các khoản đầu tư giữ đến ngày đáo hạn (HTM)</t>
  </si>
  <si>
    <t xml:space="preserve">  Increase (decrease) in held to marturity investments</t>
  </si>
  <si>
    <t>cfs197</t>
  </si>
  <si>
    <t xml:space="preserve">  Tăng(giảm) các khoản cho vay</t>
  </si>
  <si>
    <t xml:space="preserve">  Increase (decrease) in loans given</t>
  </si>
  <si>
    <t>cfs207</t>
  </si>
  <si>
    <t xml:space="preserve">  (-) Tăng, (+) giảm phải thu và dự thu cổ tức, tiền lãi các tài sản tài chính</t>
  </si>
  <si>
    <t xml:space="preserve">  Increase (decrease) in receivable from interest of financial assets</t>
  </si>
  <si>
    <t>cfs208</t>
  </si>
  <si>
    <t xml:space="preserve">  (-) Tăng, (+) giảm các khoản phải thu các dịch vụ CTCK cung cấp</t>
  </si>
  <si>
    <t xml:space="preserve">  Increase (decrease) in receivable from services rendered</t>
  </si>
  <si>
    <t>cfa10</t>
  </si>
  <si>
    <t xml:space="preserve">  (-) Tăng, (+) giảm các khoản phải thu khác</t>
  </si>
  <si>
    <t xml:space="preserve">  Increase/(decrease) in receivables</t>
  </si>
  <si>
    <t>cfs199</t>
  </si>
  <si>
    <t xml:space="preserve">  Tăng/giảm các tài sản khác</t>
  </si>
  <si>
    <t xml:space="preserve">  Increase (decrease) in other assets</t>
  </si>
  <si>
    <t>cfs223</t>
  </si>
  <si>
    <t xml:space="preserve">  (-) Tăng, (+) giảm chi phí phải trả (không bao gồm chi phí lãi vay)</t>
  </si>
  <si>
    <t xml:space="preserve">  Increase/ (decrease) in payable expenses (excluding interest expenses)</t>
  </si>
  <si>
    <t>cfa13</t>
  </si>
  <si>
    <t xml:space="preserve">  Tăng/giảm chi phí trả trước</t>
  </si>
  <si>
    <t xml:space="preserve">  Increase/(decrease) in prepaid expenses</t>
  </si>
  <si>
    <t>cfa15</t>
  </si>
  <si>
    <t xml:space="preserve">  Thuế TNDN CTCK đã nộp</t>
  </si>
  <si>
    <t xml:space="preserve">  Business Income Tax paid</t>
  </si>
  <si>
    <t>cfa14</t>
  </si>
  <si>
    <t xml:space="preserve">  Tiền lãi vay đã trả</t>
  </si>
  <si>
    <t xml:space="preserve">  Interest paid</t>
  </si>
  <si>
    <t>cfs210</t>
  </si>
  <si>
    <t xml:space="preserve">  (+) Tăng, (-) giảm phải trả cho người bán</t>
  </si>
  <si>
    <t xml:space="preserve">  Increase (decrease) in trade payables</t>
  </si>
  <si>
    <t>cfs212</t>
  </si>
  <si>
    <t xml:space="preserve">  (+) Tăng, (-) giảm các khoản trích nộp phúc lợi nhân viên</t>
  </si>
  <si>
    <t xml:space="preserve">  Increase (decrease) in contribution to employees' welfare</t>
  </si>
  <si>
    <t>cfs213</t>
  </si>
  <si>
    <t xml:space="preserve">  (+) Tăng, (-) giảm thuế và các khoản phải nộp Nhà nước</t>
  </si>
  <si>
    <t xml:space="preserve">  Increase (decrease) in tax and payables to authority</t>
  </si>
  <si>
    <t>cfs214</t>
  </si>
  <si>
    <t xml:space="preserve">  (+) Tăng, (-) giảm phải trả người lao động</t>
  </si>
  <si>
    <t xml:space="preserve">  Increase (decrease) in payables to employees</t>
  </si>
  <si>
    <t>cfa12</t>
  </si>
  <si>
    <t xml:space="preserve">  (+) Tăng, (-) giảm các khoản phải trả, phải nộp khác</t>
  </si>
  <si>
    <t xml:space="preserve">  (Increase)/decrease in payables</t>
  </si>
  <si>
    <t>cfa16</t>
  </si>
  <si>
    <t xml:space="preserve">  Tiền thu khác từ hoạt động kinh doanh</t>
  </si>
  <si>
    <t xml:space="preserve">  Other receipts from operating activities</t>
  </si>
  <si>
    <t>cfs217</t>
  </si>
  <si>
    <t xml:space="preserve">  Tiền thu khác</t>
  </si>
  <si>
    <t xml:space="preserve">  Other receivables</t>
  </si>
  <si>
    <t>cfa17</t>
  </si>
  <si>
    <t xml:space="preserve">  Tiền chi khác cho hoạt động kinh doanh</t>
  </si>
  <si>
    <t xml:space="preserve">  Other payments on operating activitie</t>
  </si>
  <si>
    <t>cfs220</t>
  </si>
  <si>
    <t xml:space="preserve">  Các khoản chi khác</t>
  </si>
  <si>
    <t>cfs194</t>
  </si>
  <si>
    <t xml:space="preserve">  Thay đổi tài sản và nợ phải trả hoạt động (Trước năm 2016)</t>
  </si>
  <si>
    <t xml:space="preserve">  Change in assets and operating liabilities (Before 2016)</t>
  </si>
  <si>
    <t>cfs200</t>
  </si>
  <si>
    <t xml:space="preserve">  Tăng/giảm các khoản phải thu (Trước năm 2016)</t>
  </si>
  <si>
    <t xml:space="preserve">  Increase (decrease) in receivable (Before 2016)</t>
  </si>
  <si>
    <t>cfa18</t>
  </si>
  <si>
    <t>Lưu chuyển thuần từ hoạt động kinh doanh</t>
  </si>
  <si>
    <t>Net cash inflows/(outflows) from operating activities</t>
  </si>
  <si>
    <t>cfa19</t>
  </si>
  <si>
    <t xml:space="preserve">  Tiền chi để mua sắm, xây dựng TSCĐ, BĐSĐT và các tài sản dài hạn khác</t>
  </si>
  <si>
    <t xml:space="preserve">  Purchases of fixed assets and other long term assets</t>
  </si>
  <si>
    <t>cfa20</t>
  </si>
  <si>
    <t xml:space="preserve">  Tiền thu từ thanh lý, nhượng bán TSCĐ, BĐSĐT và các tài sản dài hạn khác</t>
  </si>
  <si>
    <t xml:space="preserve">  Proceeds from disposal of fixed assets</t>
  </si>
  <si>
    <t>cfa25</t>
  </si>
  <si>
    <t xml:space="preserve">  Tiền thu về cổ tức lợi nhuận được chia từ các khoản đầu tư tài chính dài hạn</t>
  </si>
  <si>
    <t xml:space="preserve">  Dividends and interest received</t>
  </si>
  <si>
    <t>cfa26</t>
  </si>
  <si>
    <t>Lưu chuyển tiền thuần từ hoạt động đầu tư</t>
  </si>
  <si>
    <t>Net cash inflows/(outflows) from investing activities</t>
  </si>
  <si>
    <t>cfa27</t>
  </si>
  <si>
    <t xml:space="preserve">  Tiền thu từ phát hành cổ phiếu, nhận vốn góp của chủ sở hữu</t>
  </si>
  <si>
    <t xml:space="preserve">  Proceeds from issue of shares</t>
  </si>
  <si>
    <t>cfa29</t>
  </si>
  <si>
    <t xml:space="preserve">  Tiền vay gốc</t>
  </si>
  <si>
    <t xml:space="preserve">  Proceeds from borrowings</t>
  </si>
  <si>
    <t>cfs114</t>
  </si>
  <si>
    <t xml:space="preserve">  Tiền vay khác</t>
  </si>
  <si>
    <t xml:space="preserve">  Other loans received</t>
  </si>
  <si>
    <t>cfa30</t>
  </si>
  <si>
    <t xml:space="preserve">  Tiền chi trả nợ gốc vay</t>
  </si>
  <si>
    <t xml:space="preserve">  Repayment of borrowings</t>
  </si>
  <si>
    <t>cfs117</t>
  </si>
  <si>
    <t xml:space="preserve">  Tiền chi trả gốc nợ vay khác</t>
  </si>
  <si>
    <t xml:space="preserve">  Other Loans principal repaid</t>
  </si>
  <si>
    <t>cfa31</t>
  </si>
  <si>
    <t xml:space="preserve">  Tiền chi trả nợ thuê tài chính</t>
  </si>
  <si>
    <t xml:space="preserve">  Finance lease principal payments</t>
  </si>
  <si>
    <t>cfa32</t>
  </si>
  <si>
    <t xml:space="preserve">  Cổ tức, lợi nhuận đã trả cho chủ sở hữu</t>
  </si>
  <si>
    <t xml:space="preserve">  Dividends paid</t>
  </si>
  <si>
    <t>cfa34</t>
  </si>
  <si>
    <t>Lưu chuyển thuần từ hoạt động tài chính</t>
  </si>
  <si>
    <t>Net cash inflows/(outflows) from financing activities</t>
  </si>
  <si>
    <t>cfa35</t>
  </si>
  <si>
    <t>LƯU CHUYỂN TIỀN THUẦN TRONG KỲ</t>
  </si>
  <si>
    <t>NET CASH INFLOWS/(OUTFLOWS)</t>
  </si>
  <si>
    <t>cfa36</t>
  </si>
  <si>
    <t>TIỀN VÀ CÁC KHOẢN TƯƠNG ĐƯƠNG TIỀN ĐẦU KỲ</t>
  </si>
  <si>
    <t>CASH AND CASH EQUIVALENTS AT THE BEGINNING OF PERIOD</t>
  </si>
  <si>
    <t>cfs118</t>
  </si>
  <si>
    <t xml:space="preserve">  Tiền mặt, tiền gửi ngân hàng đầu kỳ</t>
  </si>
  <si>
    <t xml:space="preserve">  Cash and bank deposit at the beginning of the period</t>
  </si>
  <si>
    <t>cfs120</t>
  </si>
  <si>
    <t xml:space="preserve">  Các khoản tương đương tiền</t>
  </si>
  <si>
    <t xml:space="preserve">  Cash equivalents</t>
  </si>
  <si>
    <t>cfa38</t>
  </si>
  <si>
    <t>TIỀN VÀ CÁC KHOẢN TƯƠNG ĐƯƠNG TIỀN CUỐI KỲ</t>
  </si>
  <si>
    <t>CASH AND CASH EQUIVALENTS AT THE END OF PERIOD</t>
  </si>
  <si>
    <t>cfs121</t>
  </si>
  <si>
    <t xml:space="preserve">  Tiền mặt, tiền gửi ngân hàng kỳ</t>
  </si>
  <si>
    <t xml:space="preserve">  Cash and bank deposit during the period</t>
  </si>
  <si>
    <t>cfs123</t>
  </si>
  <si>
    <t>cfs125</t>
  </si>
  <si>
    <t xml:space="preserve">  Tiền thu bán chứng khoán môi giới cho khách hàng</t>
  </si>
  <si>
    <t xml:space="preserve">  Cash inflow from securities sales broking</t>
  </si>
  <si>
    <t>cfs126</t>
  </si>
  <si>
    <t xml:space="preserve">  Tiền chi mua chứng khoán môi giới cho khách hàng</t>
  </si>
  <si>
    <t xml:space="preserve">  Cash outflow from securities purchase broking</t>
  </si>
  <si>
    <t>cfs133</t>
  </si>
  <si>
    <t xml:space="preserve">  Nhận tiền gửi để thanh toán giao dịch chứng khoán của khách hàng</t>
  </si>
  <si>
    <t xml:space="preserve">  Cash received for the purpose of transaction of clients</t>
  </si>
  <si>
    <t>cfs224</t>
  </si>
  <si>
    <t xml:space="preserve">  Chi trả thanh toán giao dịch chứng khoán của khách hàng</t>
  </si>
  <si>
    <t xml:space="preserve">  Cash outflow on securities transaction settlement of clients</t>
  </si>
  <si>
    <t>cfs135</t>
  </si>
  <si>
    <t xml:space="preserve">  Chi trả phí lưu ký chứng khoán của khách hàng</t>
  </si>
  <si>
    <t xml:space="preserve">  Cash paid for depository fee of clients</t>
  </si>
  <si>
    <t>cfs138</t>
  </si>
  <si>
    <t xml:space="preserve">  Tiền thu của Tổ chức phát hành chứng khoán</t>
  </si>
  <si>
    <t xml:space="preserve">  Cash received from issuing organizations</t>
  </si>
  <si>
    <t>cfs139</t>
  </si>
  <si>
    <t xml:space="preserve">  Tiền chi trả Tổ chức phát hành chứng khoán</t>
  </si>
  <si>
    <t xml:space="preserve">  Cash paid to issuing organizations</t>
  </si>
  <si>
    <t>cfs140</t>
  </si>
  <si>
    <t>Lưu chuyển tiền hoạt động môi giới, ủy thác của khách hàng</t>
  </si>
  <si>
    <t>Net cash inflows/(outflows) from brokerage and trust activities</t>
  </si>
  <si>
    <t>cfs141</t>
  </si>
  <si>
    <t>TIỀN VÀ CÁC KHOẢN TƯƠNG ĐƯƠNG TIỀN ĐẦU KỲ CỦA KHÁCH HÀNG</t>
  </si>
  <si>
    <t>CASH AND CASH EQUIVALENTS OF CUSTOMERS AT THE BEGINNING OF PERIOD</t>
  </si>
  <si>
    <t>cfs142</t>
  </si>
  <si>
    <t xml:space="preserve">  Tiền gửi ngân hàng đầu kỳ</t>
  </si>
  <si>
    <t xml:space="preserve">  Cash and cash equivalent at the beginning of period</t>
  </si>
  <si>
    <t>cfs143</t>
  </si>
  <si>
    <t xml:space="preserve">  Tiền gửi của NĐT về GDCK theo phương thức CTCK quản lý</t>
  </si>
  <si>
    <t xml:space="preserve">  Investors' deposit for securities transaction by Securities company managed method</t>
  </si>
  <si>
    <t>cfs147</t>
  </si>
  <si>
    <t xml:space="preserve">  Tiền gửi của tổ chức phát hành</t>
  </si>
  <si>
    <t xml:space="preserve">  Issuing organization's deposit</t>
  </si>
  <si>
    <t>cfs148</t>
  </si>
  <si>
    <t xml:space="preserve">  Trong đó: có kỳ hạn</t>
  </si>
  <si>
    <t xml:space="preserve">  In which: amounts which have specific term</t>
  </si>
  <si>
    <t>cfs152</t>
  </si>
  <si>
    <t xml:space="preserve">  Ảnh hưởng của thay đổi tỷ giá hối đoái quy đổi ngoại tệ</t>
  </si>
  <si>
    <t xml:space="preserve">  Effect of changes in foreign currency exchange rates</t>
  </si>
  <si>
    <t>cfs153</t>
  </si>
  <si>
    <t>TIỀN VÀ CÁC KHOẢN TƯƠNG ĐƯƠNG TIỀN CUỐI KỲ CỦA KHÁCH HÀNG</t>
  </si>
  <si>
    <t>CASH AND CASH EQUIVALENTS OF CUSTOMERS AT THE END OF PERIOD</t>
  </si>
  <si>
    <t>cfs154</t>
  </si>
  <si>
    <t xml:space="preserve">  Tiền gửi ngân hàng cuối kỳ</t>
  </si>
  <si>
    <t xml:space="preserve">  Cash and cash equivalent at the end of period</t>
  </si>
  <si>
    <t>cfs155</t>
  </si>
  <si>
    <t>cfs159</t>
  </si>
  <si>
    <t xml:space="preserve">  Tiền gửi tổng hợp GDCK cho khách hàng</t>
  </si>
  <si>
    <t xml:space="preserve">  Customers' general deposit for securities transactions</t>
  </si>
  <si>
    <t>cfs160</t>
  </si>
  <si>
    <t xml:space="preserve">  Tiền gửi bù trừ và thanh toán GDCK</t>
  </si>
  <si>
    <t xml:space="preserve">  Deposit for securities clearing</t>
  </si>
  <si>
    <t>cfs164</t>
  </si>
  <si>
    <t>note</t>
  </si>
  <si>
    <t>nos88</t>
  </si>
  <si>
    <t>TIỀN VÀ TƯƠNG ĐƯƠNG TIỀN</t>
  </si>
  <si>
    <t>CASH AND CASH EQUIVALENT</t>
  </si>
  <si>
    <t>nos89</t>
  </si>
  <si>
    <t xml:space="preserve">  Tiền mặt</t>
  </si>
  <si>
    <t xml:space="preserve">  Cash</t>
  </si>
  <si>
    <t>nos94</t>
  </si>
  <si>
    <t xml:space="preserve">  Tiền gửi thanh toán bù trừ giao dịch CK</t>
  </si>
  <si>
    <t xml:space="preserve">  Deposits clearing securities trading</t>
  </si>
  <si>
    <t>nos95</t>
  </si>
  <si>
    <t>nos96</t>
  </si>
  <si>
    <t>KHỐI LƯỢNG GIAO DỊCH THỰC HIỆN TRONG KỲ CỦA CTCK</t>
  </si>
  <si>
    <t>TRADING VOLUME IN PERIOD OF SECURITIES CORPORATIONS</t>
  </si>
  <si>
    <t>nos97</t>
  </si>
  <si>
    <t xml:space="preserve">  Khối lượng Cổ phiếu</t>
  </si>
  <si>
    <t xml:space="preserve">  Stock volume</t>
  </si>
  <si>
    <t>nos98</t>
  </si>
  <si>
    <t xml:space="preserve">  Khối lượng Trái phiếu</t>
  </si>
  <si>
    <t xml:space="preserve">  Bond volume</t>
  </si>
  <si>
    <t>nos99</t>
  </si>
  <si>
    <t xml:space="preserve">  Khối lượng chứng khoán khác</t>
  </si>
  <si>
    <t xml:space="preserve">  Others</t>
  </si>
  <si>
    <t>nos100</t>
  </si>
  <si>
    <t>GIÁ TRỊ GIAO DỊCH THỰC HIỆN TRONG KỲ CỦA CTCK</t>
  </si>
  <si>
    <t>TRADING VALUE IN PERIOD OF SECURITIES CORPORATION</t>
  </si>
  <si>
    <t>nos101</t>
  </si>
  <si>
    <t xml:space="preserve">  Giá trị Cổ phiếu</t>
  </si>
  <si>
    <t xml:space="preserve">  Value of shares</t>
  </si>
  <si>
    <t>nos102</t>
  </si>
  <si>
    <t xml:space="preserve">  Giá trị Trái phiếu</t>
  </si>
  <si>
    <t xml:space="preserve">  Value of bonds</t>
  </si>
  <si>
    <t>nos103</t>
  </si>
  <si>
    <t xml:space="preserve">  Giá trị chứng khoán khác</t>
  </si>
  <si>
    <t xml:space="preserve">  Value of others</t>
  </si>
  <si>
    <t>nos104</t>
  </si>
  <si>
    <t>KHỐI LƯỢNG GIAO DỊCH THỰC HIỆN TRONG KỲ CỦA NĐT</t>
  </si>
  <si>
    <t>TRADING VOLUME IN PERIOD OF INVESTORS</t>
  </si>
  <si>
    <t>nos105</t>
  </si>
  <si>
    <t>nos106</t>
  </si>
  <si>
    <t>nos107</t>
  </si>
  <si>
    <t xml:space="preserve">  Other volume</t>
  </si>
  <si>
    <t>nos108</t>
  </si>
  <si>
    <t>GIÁ TRỊ GIAO DỊCH THỰC HIỆN TRONG KỲ CỦA NĐT</t>
  </si>
  <si>
    <t>TRADING VALUE IN PERIOD OF INVESTORS</t>
  </si>
  <si>
    <t>nos109</t>
  </si>
  <si>
    <t>nos110</t>
  </si>
  <si>
    <t>nos111</t>
  </si>
  <si>
    <t>nos119</t>
  </si>
  <si>
    <t>GIÁ GỐC ĐẦU TƯ TÀI CHÍNH</t>
  </si>
  <si>
    <t>COST OF FINANCIAL INVESTMENTS</t>
  </si>
  <si>
    <t>nos120</t>
  </si>
  <si>
    <t xml:space="preserve">  Đầu tư tài chính ngắn hạn</t>
  </si>
  <si>
    <t xml:space="preserve">  Short-term investments</t>
  </si>
  <si>
    <t>nos121</t>
  </si>
  <si>
    <t xml:space="preserve">  Chứng khoán thương mại</t>
  </si>
  <si>
    <t xml:space="preserve">  Trading Securities</t>
  </si>
  <si>
    <t>nos122</t>
  </si>
  <si>
    <t xml:space="preserve">  Cổ phiếu niêm yết</t>
  </si>
  <si>
    <t xml:space="preserve">  Listed Shares</t>
  </si>
  <si>
    <t>nos124</t>
  </si>
  <si>
    <t xml:space="preserve">  Chứng chỉ quỹ</t>
  </si>
  <si>
    <t xml:space="preserve">  Fund certificates</t>
  </si>
  <si>
    <t>nos125</t>
  </si>
  <si>
    <t xml:space="preserve">  Trái phiếu</t>
  </si>
  <si>
    <t xml:space="preserve">  Bonds</t>
  </si>
  <si>
    <t>nos126</t>
  </si>
  <si>
    <t xml:space="preserve">  Đầu tư tài chính ngắn hạn khác</t>
  </si>
  <si>
    <t xml:space="preserve">  Other short-term investments</t>
  </si>
  <si>
    <t>nos414</t>
  </si>
  <si>
    <t xml:space="preserve">  Công cụ thị trường tiền tệ</t>
  </si>
  <si>
    <t xml:space="preserve">  Money Market Instruments</t>
  </si>
  <si>
    <t>nos433</t>
  </si>
  <si>
    <t xml:space="preserve">  Giá trị ghi sổ Các khoản đầu tư giữ đến ngày đáo hạn (HTM)</t>
  </si>
  <si>
    <t xml:space="preserve">  Carrying amount of Held-to-maturity investments</t>
  </si>
  <si>
    <t>nos435</t>
  </si>
  <si>
    <t xml:space="preserve">  Cổ phiếu chưa niêm yết</t>
  </si>
  <si>
    <t xml:space="preserve">  Unlisted shares</t>
  </si>
  <si>
    <t>nos438</t>
  </si>
  <si>
    <t>nos445</t>
  </si>
  <si>
    <t xml:space="preserve">  Các khoản cho vay và phải thu</t>
  </si>
  <si>
    <t xml:space="preserve">  Loans and Receivables</t>
  </si>
  <si>
    <t>nos446</t>
  </si>
  <si>
    <t xml:space="preserve">  Cho vay nghiệp vụ ký quỹ (margin)</t>
  </si>
  <si>
    <t xml:space="preserve">  Margin Loan</t>
  </si>
  <si>
    <t>nos447</t>
  </si>
  <si>
    <t xml:space="preserve">  Cho vay ứng trước tiền bán chứng khoán của khách hàng</t>
  </si>
  <si>
    <t xml:space="preserve">  Advanced selling customers' securities lending</t>
  </si>
  <si>
    <t>nos127</t>
  </si>
  <si>
    <t xml:space="preserve">  Đầu tư tài chính dài hạn</t>
  </si>
  <si>
    <t>nos133</t>
  </si>
  <si>
    <t xml:space="preserve">  Chứng khoán nắm giữ đến ngày đáo hạn</t>
  </si>
  <si>
    <t xml:space="preserve">  Securities held to maturity</t>
  </si>
  <si>
    <t>nos135</t>
  </si>
  <si>
    <t xml:space="preserve">  Unlisted Share</t>
  </si>
  <si>
    <t>nos137</t>
  </si>
  <si>
    <t>nos146</t>
  </si>
  <si>
    <t>GIÁ THỊ TRƯỜNG ĐẦU TƯ TÀI CHÍNH</t>
  </si>
  <si>
    <t>MARKET VALUE OF FINANCIAL INVESTMENTS</t>
  </si>
  <si>
    <t>nos147</t>
  </si>
  <si>
    <t xml:space="preserve">  Long-term financial investment</t>
  </si>
  <si>
    <t>nos148</t>
  </si>
  <si>
    <t>nos149</t>
  </si>
  <si>
    <t>nos151</t>
  </si>
  <si>
    <t>nos152</t>
  </si>
  <si>
    <t xml:space="preserve">  Bond</t>
  </si>
  <si>
    <t>nos153</t>
  </si>
  <si>
    <t>nos453</t>
  </si>
  <si>
    <t>nos486</t>
  </si>
  <si>
    <t xml:space="preserve">  Giá trị hợp lý Các khoản cho vay và phải thu</t>
  </si>
  <si>
    <t xml:space="preserve">  Fair value of Loans and Receivables</t>
  </si>
  <si>
    <t>nos487</t>
  </si>
  <si>
    <t>nos488</t>
  </si>
  <si>
    <t>nos494</t>
  </si>
  <si>
    <t>TRÍCH LẬP DỰ PHÒNG GIẢM GIÁ CÁC TÀI SẢN TÀI CHÍNH</t>
  </si>
  <si>
    <t>PROVISION FOR DEVALUATION OF FINANCIAL ASSETS</t>
  </si>
  <si>
    <t>nos498</t>
  </si>
  <si>
    <t>nos505</t>
  </si>
  <si>
    <t>CÁC KHOẢN PHẢI THU BÁN CÁC KHOẢN ĐẦU TƯ</t>
  </si>
  <si>
    <t>RECEIVABLES FROM SELLING INVESTMENTS</t>
  </si>
  <si>
    <t>nos511</t>
  </si>
  <si>
    <t xml:space="preserve">  Phải thu khác</t>
  </si>
  <si>
    <t xml:space="preserve">  Other Receivables</t>
  </si>
  <si>
    <t>nos512</t>
  </si>
  <si>
    <t>CÁC KHOẢN PHẢI THU VÀ DỰ THU CỔ TỨC, TIỀN LÃI CÁC KHOẢN ĐẦU TƯ</t>
  </si>
  <si>
    <t>RECEIVABLES AND ACCRUED DIVIDENDS, INTERESTS ON INVESTMENTS</t>
  </si>
  <si>
    <t>nos514</t>
  </si>
  <si>
    <t xml:space="preserve">  Dự thu cổ tức, tiền lãi phát sinh trong kỳ chưa đến ngày thu trong kỳ</t>
  </si>
  <si>
    <t xml:space="preserve">  Accrued dividends and interests not yet due</t>
  </si>
  <si>
    <t>nos516</t>
  </si>
  <si>
    <t xml:space="preserve">  Phải thu và dự thu khác</t>
  </si>
  <si>
    <t xml:space="preserve">  Other Receivables and accrued</t>
  </si>
  <si>
    <t>nos523</t>
  </si>
  <si>
    <t>PHẢI THU CÁC DỊCH VỤ CTCK CUNG CẤP</t>
  </si>
  <si>
    <t>RECEIVABLES FROM SERVICES PROVIDED BY THE COMPANY</t>
  </si>
  <si>
    <t>nos524</t>
  </si>
  <si>
    <t xml:space="preserve">  Phải thu hoạt động môi giới chứng khoán</t>
  </si>
  <si>
    <t xml:space="preserve">  Receivables of providing securities brokerage services</t>
  </si>
  <si>
    <t>nos525</t>
  </si>
  <si>
    <t xml:space="preserve">  Phải thu hoạt động bảo lãnh, đại lý phát hành chứng khoán</t>
  </si>
  <si>
    <t xml:space="preserve">  Receivables from securities issuance underwriting, issue agency</t>
  </si>
  <si>
    <t>nos526</t>
  </si>
  <si>
    <t xml:space="preserve">  Phải thu hoạt động tư vấn</t>
  </si>
  <si>
    <t xml:space="preserve">  Receivables from consultancy services</t>
  </si>
  <si>
    <t>nos527</t>
  </si>
  <si>
    <t xml:space="preserve">  Phải thu hoạt động lưu ký chứng khoán</t>
  </si>
  <si>
    <t xml:space="preserve">  Receivables from securities depository</t>
  </si>
  <si>
    <t>nos534</t>
  </si>
  <si>
    <t xml:space="preserve">  Phải thu các dịch vụ CTCK cung cấp khác</t>
  </si>
  <si>
    <t xml:space="preserve">  Other receivables from services provided by the Company</t>
  </si>
  <si>
    <t>nos192</t>
  </si>
  <si>
    <t>PHẢI THU NGẮN HẠN KHÁC</t>
  </si>
  <si>
    <t>SHORT-TERM RECEIVABLES FROM OTHER ACTIVITIES</t>
  </si>
  <si>
    <t>nos201</t>
  </si>
  <si>
    <t xml:space="preserve">  Các khoản phải thu ngắn hạn khác</t>
  </si>
  <si>
    <t xml:space="preserve">  Other Short-term receivables</t>
  </si>
  <si>
    <t>nos207</t>
  </si>
  <si>
    <t>NGUYÊN GIÁ TSCĐHH</t>
  </si>
  <si>
    <t>TANGIBLE FIXED ASSETS - HISTORICAL COST</t>
  </si>
  <si>
    <t>nos208</t>
  </si>
  <si>
    <t xml:space="preserve">  Nguyên giá đầu kỳ</t>
  </si>
  <si>
    <t xml:space="preserve">  Historical cost</t>
  </si>
  <si>
    <t>nos209</t>
  </si>
  <si>
    <t xml:space="preserve">  Tăng trong kỳ</t>
  </si>
  <si>
    <t xml:space="preserve">  Increases</t>
  </si>
  <si>
    <t>nos210</t>
  </si>
  <si>
    <t xml:space="preserve">  Giảm trong kỳ</t>
  </si>
  <si>
    <t xml:space="preserve">  Decreases</t>
  </si>
  <si>
    <t>nos211</t>
  </si>
  <si>
    <t>HAO MÒN TSCĐHH</t>
  </si>
  <si>
    <t>TANGIBLE FIXED ASSETS - ACCUMULATED DEPRECIATION</t>
  </si>
  <si>
    <t>nos212</t>
  </si>
  <si>
    <t xml:space="preserve">  Đầu kỳ</t>
  </si>
  <si>
    <t>nos213</t>
  </si>
  <si>
    <t>nos214</t>
  </si>
  <si>
    <t>nos215</t>
  </si>
  <si>
    <t>NGUYÊN GIÁ TSCĐ TTC</t>
  </si>
  <si>
    <t>FINANCE LEASE ASSETS - HISTORICAL COST</t>
  </si>
  <si>
    <t>nos216</t>
  </si>
  <si>
    <t>nos217</t>
  </si>
  <si>
    <t>nos218</t>
  </si>
  <si>
    <t>nos219</t>
  </si>
  <si>
    <t>HAO MÒN TSCĐ TTC</t>
  </si>
  <si>
    <t>FINANCE LEASE ASSETS - ACCUMULATED DEPRECIATION</t>
  </si>
  <si>
    <t>nos220</t>
  </si>
  <si>
    <t>nos221</t>
  </si>
  <si>
    <t>nos222</t>
  </si>
  <si>
    <t>nos223</t>
  </si>
  <si>
    <t>NGUYÊN GIÁ TSCĐVH</t>
  </si>
  <si>
    <t>INTANGIBLE FIXED ASSETS - HISTORICAL COST</t>
  </si>
  <si>
    <t>nos224</t>
  </si>
  <si>
    <t>nos225</t>
  </si>
  <si>
    <t>nos227</t>
  </si>
  <si>
    <t>HAO MÒN TSCĐVH</t>
  </si>
  <si>
    <t>INTANGIBLE FIXED ASSETS - ACCUMULATED AMORTIZATION</t>
  </si>
  <si>
    <t>nos228</t>
  </si>
  <si>
    <t>nos229</t>
  </si>
  <si>
    <t>nos231</t>
  </si>
  <si>
    <t>VAY VÀ NỢ NGẮN HẠN</t>
  </si>
  <si>
    <t>SHORT-TERM LOANS AND LIABILITIES</t>
  </si>
  <si>
    <t>nos232</t>
  </si>
  <si>
    <t xml:space="preserve">  Vay ngắn hạn</t>
  </si>
  <si>
    <t xml:space="preserve">  Short-term loans</t>
  </si>
  <si>
    <t>nos234</t>
  </si>
  <si>
    <t>PHẢI TRẢ HOẠT ĐỘNG GIAO DỊCH CHỨNG KHOÁN</t>
  </si>
  <si>
    <t>PAYABLES FOR SECURITIES TRADING ACTIVITIES</t>
  </si>
  <si>
    <t>nos235</t>
  </si>
  <si>
    <t xml:space="preserve">  Phải trả sở GDCK</t>
  </si>
  <si>
    <t xml:space="preserve">  Payable to the Stock Exchange</t>
  </si>
  <si>
    <t>nos236</t>
  </si>
  <si>
    <t xml:space="preserve">  Phải trả trung tâm lưu ký</t>
  </si>
  <si>
    <t xml:space="preserve">  Payable to Vietnam Securities Depository</t>
  </si>
  <si>
    <t>nos241</t>
  </si>
  <si>
    <t>PHẢI TRẢ, PHẢI NỘP NGẮN HẠN KHÁC</t>
  </si>
  <si>
    <t>OTHER PAYABLES</t>
  </si>
  <si>
    <t>nos252</t>
  </si>
  <si>
    <t xml:space="preserve">  Các khoản phải trả, phải nộp khác</t>
  </si>
  <si>
    <t>nos253</t>
  </si>
  <si>
    <t>CÁC KHOẢN PHẢI TRẢ VỀ THUẾ</t>
  </si>
  <si>
    <t>TAXES PAYABLE</t>
  </si>
  <si>
    <t>nos254</t>
  </si>
  <si>
    <t xml:space="preserve">  Thuế GTGT</t>
  </si>
  <si>
    <t xml:space="preserve">  Value added tax</t>
  </si>
  <si>
    <t>nos257</t>
  </si>
  <si>
    <t xml:space="preserve">  Thuế TNDN</t>
  </si>
  <si>
    <t xml:space="preserve">  Corporate income Tax</t>
  </si>
  <si>
    <t>nos258</t>
  </si>
  <si>
    <t xml:space="preserve">  Thuế TNCN</t>
  </si>
  <si>
    <t xml:space="preserve">  Personal Income Tax</t>
  </si>
  <si>
    <t>nos261</t>
  </si>
  <si>
    <t xml:space="preserve">  Các loại thuế khác</t>
  </si>
  <si>
    <t xml:space="preserve">  Other taxes</t>
  </si>
  <si>
    <t>nos263</t>
  </si>
  <si>
    <t>CHI PHÍ PHẢI TRẢ</t>
  </si>
  <si>
    <t>ACCRUALS</t>
  </si>
  <si>
    <t>nos267</t>
  </si>
  <si>
    <t xml:space="preserve">  Khác</t>
  </si>
  <si>
    <t>nos562</t>
  </si>
  <si>
    <t>CÁC TÀI SẢN CẦM CỐ, THẾ CHẤP</t>
  </si>
  <si>
    <t>MORTGAGED ASSETS</t>
  </si>
  <si>
    <t>nos563</t>
  </si>
  <si>
    <t xml:space="preserve">  Ngắn hạn</t>
  </si>
  <si>
    <t xml:space="preserve">  Short-term</t>
  </si>
  <si>
    <t>nos564</t>
  </si>
  <si>
    <t xml:space="preserve">  Dài hạn</t>
  </si>
  <si>
    <t xml:space="preserve">  Long-term</t>
  </si>
  <si>
    <t>nos652</t>
  </si>
  <si>
    <t>LÃI/LỖ BÁN CÁC TÀI SẢN TÀI CHÍNH</t>
  </si>
  <si>
    <t>GAIN/LOSS FROM DISPOSAL OF FINANCIAL ASSETS</t>
  </si>
  <si>
    <t>nos653</t>
  </si>
  <si>
    <t xml:space="preserve">  Listed shares</t>
  </si>
  <si>
    <t>nos654</t>
  </si>
  <si>
    <t>nos655</t>
  </si>
  <si>
    <t>nos656</t>
  </si>
  <si>
    <t>nos657</t>
  </si>
  <si>
    <t>nos658</t>
  </si>
  <si>
    <t xml:space="preserve">  TSTC phái sinh niêm yết</t>
  </si>
  <si>
    <t xml:space="preserve">  Listed derivative financial assets</t>
  </si>
  <si>
    <t>nos680</t>
  </si>
  <si>
    <t>CỔ TỨC VÀ TIỀN LÃI PHÁT SINH</t>
  </si>
  <si>
    <t>DIVIDEND, INTEREST INCOME</t>
  </si>
  <si>
    <t>nos681</t>
  </si>
  <si>
    <t xml:space="preserve">  Từ tài sản tài chính FVTPL</t>
  </si>
  <si>
    <t xml:space="preserve">  Dividend, interest income from financial assets at FVTPL</t>
  </si>
  <si>
    <t>nos682</t>
  </si>
  <si>
    <t xml:space="preserve">  Từ tài sản tài chính HTM</t>
  </si>
  <si>
    <t xml:space="preserve">  Dividend, interest income from financial assets at HTM</t>
  </si>
  <si>
    <t>nos684</t>
  </si>
  <si>
    <t xml:space="preserve">  Từ các khoản cho vay</t>
  </si>
  <si>
    <t xml:space="preserve">  Dividend, interest income from loans</t>
  </si>
  <si>
    <t>nos685</t>
  </si>
  <si>
    <t>DOANH THU NGOÀI THU NHẬP CÁC TÀI SẢN TÀI CHÍNH</t>
  </si>
  <si>
    <t>REVENUE EXCEPT INCOME FROM FINANCIAL ASSETS</t>
  </si>
  <si>
    <t>nos686</t>
  </si>
  <si>
    <t xml:space="preserve">  Doanh thu hoạt động môi giới chứng khoán</t>
  </si>
  <si>
    <t xml:space="preserve">  Revenue from brokerage services</t>
  </si>
  <si>
    <t>nos687</t>
  </si>
  <si>
    <t xml:space="preserve">  Doanh thu ban đầu</t>
  </si>
  <si>
    <t xml:space="preserve">  Revenue</t>
  </si>
  <si>
    <t>nos689</t>
  </si>
  <si>
    <t xml:space="preserve">  Doanh thu thuần</t>
  </si>
  <si>
    <t xml:space="preserve">  Net sales</t>
  </si>
  <si>
    <t>nos694</t>
  </si>
  <si>
    <t xml:space="preserve">  Doanh thu hoạt động tư vấn</t>
  </si>
  <si>
    <t xml:space="preserve">  Revenue from advisory services</t>
  </si>
  <si>
    <t>nos695</t>
  </si>
  <si>
    <t xml:space="preserve">  Other revenue</t>
  </si>
  <si>
    <t>nos277</t>
  </si>
  <si>
    <t>DOANH THU KHÁC</t>
  </si>
  <si>
    <t>OTHER REVENUE</t>
  </si>
  <si>
    <t>nos283</t>
  </si>
  <si>
    <t>nos284</t>
  </si>
  <si>
    <t>CHI PHÍ HOẠT ĐỘNG KINH DOANH</t>
  </si>
  <si>
    <t>OPERATING EXPENSES</t>
  </si>
  <si>
    <t>nos285</t>
  </si>
  <si>
    <t xml:space="preserve">  Chi phí môi giới, lưu ký chứng khoán</t>
  </si>
  <si>
    <t xml:space="preserve">  Brokerage and custody expenses</t>
  </si>
  <si>
    <t>nos286</t>
  </si>
  <si>
    <t xml:space="preserve">  Chi phí hoạt động đầu tư chứng khoán, góp vốn</t>
  </si>
  <si>
    <t xml:space="preserve">  Securities investment expense</t>
  </si>
  <si>
    <t>nos287</t>
  </si>
  <si>
    <t xml:space="preserve">  Chi phí/hoàn nhập dự phòng hoạt động kinh doanh chứng khoán</t>
  </si>
  <si>
    <t xml:space="preserve">  Expense/(reversal) of provision</t>
  </si>
  <si>
    <t>nos292</t>
  </si>
  <si>
    <t xml:space="preserve">  Chi phí hoạt động tư vấn đầu tư chứng khoán, tư vấn đầu tư tài chính, tư vấn khác</t>
  </si>
  <si>
    <t xml:space="preserve">  Investment advisory, financial advisory and other advisory expenses</t>
  </si>
  <si>
    <t>nos293</t>
  </si>
  <si>
    <t xml:space="preserve">  CHI PHÍ TRỰC TIẾP KHÁC VỀ KINH DOANH CHỨNG KHOÁN</t>
  </si>
  <si>
    <t xml:space="preserve">  OTHER DIRECT EXPENSES FOR OPERATING ACTIVITIES</t>
  </si>
  <si>
    <t>nos299</t>
  </si>
  <si>
    <t xml:space="preserve">  Chi phí khác</t>
  </si>
  <si>
    <t>nos300</t>
  </si>
  <si>
    <t>CHI PHÍ QUẢN LY DOANH NGHIỆP</t>
  </si>
  <si>
    <t>nos301</t>
  </si>
  <si>
    <t xml:space="preserve">  Chi phí nhân viên</t>
  </si>
  <si>
    <t xml:space="preserve">  Labor costs</t>
  </si>
  <si>
    <t>nos302</t>
  </si>
  <si>
    <t xml:space="preserve">  Chi phí dịch vụ mua ngoài</t>
  </si>
  <si>
    <t xml:space="preserve">  Outsourced service expenses</t>
  </si>
  <si>
    <t>nos303</t>
  </si>
  <si>
    <t xml:space="preserve">  Chi phí thuê văn phòng</t>
  </si>
  <si>
    <t xml:space="preserve">  Office rental expenses</t>
  </si>
  <si>
    <t>nos304</t>
  </si>
  <si>
    <t xml:space="preserve">  Chi phí khấu hao TSCĐ</t>
  </si>
  <si>
    <t>nos305</t>
  </si>
  <si>
    <t xml:space="preserve">  Chi phí công cụ, đồ dùng văn phòng</t>
  </si>
  <si>
    <t xml:space="preserve">  Office supply expenses</t>
  </si>
  <si>
    <t>nos307</t>
  </si>
  <si>
    <t xml:space="preserve">  Thuế, phí và lệ phí</t>
  </si>
  <si>
    <t xml:space="preserve">  Corporate income Tax and fee</t>
  </si>
  <si>
    <t>nos308</t>
  </si>
  <si>
    <t xml:space="preserve">  Chi phí khác bằng tiền</t>
  </si>
  <si>
    <t xml:space="preserve">  Other expenses on cash</t>
  </si>
  <si>
    <t>nos339</t>
  </si>
  <si>
    <t>FINANCIAL EXPENSES</t>
  </si>
  <si>
    <t>nos340</t>
  </si>
  <si>
    <t xml:space="preserve">  Lãi tiền vay</t>
  </si>
  <si>
    <t xml:space="preserve">  Interest expenses on loans</t>
  </si>
  <si>
    <t>nos348</t>
  </si>
  <si>
    <t>CHI PHÍ SẢN XUẤT THEO YẾU TỐ</t>
  </si>
  <si>
    <t>COST BY FACTORS</t>
  </si>
  <si>
    <t>nos350</t>
  </si>
  <si>
    <t xml:space="preserve">  Chi phí nhân công</t>
  </si>
  <si>
    <t>nos351</t>
  </si>
  <si>
    <t xml:space="preserve">  Chi phí khấu hao tài sản cố định</t>
  </si>
  <si>
    <t>nos352</t>
  </si>
  <si>
    <t xml:space="preserve">  Outside service expenses</t>
  </si>
  <si>
    <t>nos353</t>
  </si>
  <si>
    <t xml:space="preserve">  Other cash expenses</t>
  </si>
  <si>
    <t>Brokerage market share, second quarter of 2026</t>
  </si>
  <si>
    <t>Each percentage is a share of traded value on the named market. Shares from different markets are not comparable with one another. Sources: the HOSE and HNX quarterly announcements themselves, read by 01d_market_macro_fetch.py. A blank cell means the firm was outside that market's published top ten.</t>
  </si>
  <si>
    <t>Firm</t>
  </si>
  <si>
    <t>HOSE Q2 2026</t>
  </si>
  <si>
    <t>HOSE Q1 2026</t>
  </si>
  <si>
    <t>HOSE change, points</t>
  </si>
  <si>
    <t>HNX Q2 2026</t>
  </si>
  <si>
    <t>Derivatives Q2 2026</t>
  </si>
  <si>
    <t>VPS</t>
  </si>
  <si>
    <t>Leads every market but lost 2.71 points of HOSE share in one quarter</t>
  </si>
  <si>
    <t>SSI</t>
  </si>
  <si>
    <t>TCBS</t>
  </si>
  <si>
    <t>Largest lending book among filing brokers</t>
  </si>
  <si>
    <t>Vietcap</t>
  </si>
  <si>
    <t>HSC</t>
  </si>
  <si>
    <t>MBS</t>
  </si>
  <si>
    <t>VNDirect</t>
  </si>
  <si>
    <t>VPBankS</t>
  </si>
  <si>
    <t>Largest gainer of the quarter on both exchanges</t>
  </si>
  <si>
    <t>KIS Vietnam</t>
  </si>
  <si>
    <t>Mirae Asset Vietnam</t>
  </si>
  <si>
    <t>VCBS</t>
  </si>
  <si>
    <t>In the HOSE top ten in Q1 only</t>
  </si>
  <si>
    <t>BSC</t>
  </si>
  <si>
    <t>DNSE</t>
  </si>
  <si>
    <t>Second in derivatives, eighth on HNX, outside the top ten on HOSE</t>
  </si>
  <si>
    <t>VIX</t>
  </si>
  <si>
    <t>FPTS</t>
  </si>
  <si>
    <t>PHS</t>
  </si>
  <si>
    <t>Sum of the firms listed above</t>
  </si>
  <si>
    <t>Each column is a full top ten, so each sum equals the top-ten total below</t>
  </si>
  <si>
    <t>Top ten combined</t>
  </si>
  <si>
    <t>Share left to every firm outside the top ten = 100 less this row</t>
  </si>
  <si>
    <t>DNSE derivatives brokerage share by quarter</t>
  </si>
  <si>
    <t>Quarter</t>
  </si>
  <si>
    <t>Share, per cent</t>
  </si>
  <si>
    <t>Change on previous, points</t>
  </si>
  <si>
    <t>Source</t>
  </si>
  <si>
    <t>HNX quarterly announcement</t>
  </si>
  <si>
    <t>DNSE entered the derivatives top ten in Q1 2024; the full quarterly history from 2018 is on the Market share history tab.</t>
  </si>
  <si>
    <t>Brokerage market share by quarter, 2018 to Q2 2026</t>
  </si>
  <si>
    <t>Read from every HOSE and HNX quarterly announcement that 01d could find. A blank DNSE cell means DNSE was outside that market's top ten, so its share was below the tenth-place figure beside it. A row with no figures at all means no announcement was found for that quarter. HOSE's news service holds 2023 onwards plus two older quarters.</t>
  </si>
  <si>
    <t>HOSE top ten combined</t>
  </si>
  <si>
    <t>HOSE tenth place</t>
  </si>
  <si>
    <t>HOSE VPS</t>
  </si>
  <si>
    <t>HNX listed DNSE</t>
  </si>
  <si>
    <t>HNX listed tenth place</t>
  </si>
  <si>
    <t>UPCoM DNSE</t>
  </si>
  <si>
    <t>UPCoM tenth place</t>
  </si>
  <si>
    <t>Derivatives DNSE</t>
  </si>
  <si>
    <t>Derivatives DNSE rank</t>
  </si>
  <si>
    <t>Derivatives tenth place</t>
  </si>
  <si>
    <t>Derivatives VPS</t>
  </si>
  <si>
    <t>Derivatives top ten combined</t>
  </si>
  <si>
    <t>DNSE share of filed lending</t>
  </si>
  <si>
    <t>Brokers filing</t>
  </si>
  <si>
    <t>Q1 2018</t>
  </si>
  <si>
    <t>Q2 2018</t>
  </si>
  <si>
    <t>Q3 2018</t>
  </si>
  <si>
    <t>Q4 2018</t>
  </si>
  <si>
    <t>Q1 2019</t>
  </si>
  <si>
    <t>Q2 2019</t>
  </si>
  <si>
    <t>Q3 2019</t>
  </si>
  <si>
    <t>Q4 2019</t>
  </si>
  <si>
    <t>Q1 2020</t>
  </si>
  <si>
    <t>Q2 2020</t>
  </si>
  <si>
    <t>Q3 2020</t>
  </si>
  <si>
    <t>Q4 2020</t>
  </si>
  <si>
    <t>Q1 2021</t>
  </si>
  <si>
    <t>Q2 2021</t>
  </si>
  <si>
    <t>Q3 2021</t>
  </si>
  <si>
    <t>Q4 2021</t>
  </si>
  <si>
    <t>Q1 2022</t>
  </si>
  <si>
    <t>Q2 2022</t>
  </si>
  <si>
    <t>Q3 2022</t>
  </si>
  <si>
    <t>Q4 2022</t>
  </si>
  <si>
    <t>Q1 2023</t>
  </si>
  <si>
    <t>Q2 2023</t>
  </si>
  <si>
    <t>Q3 2023</t>
  </si>
  <si>
    <t>Q4 2023</t>
  </si>
  <si>
    <t>HNX announcements used</t>
  </si>
  <si>
    <t>Links to each are in market_macro.json under hnx_market_share.notices_used</t>
  </si>
  <si>
    <t>Filed lending</t>
  </si>
  <si>
    <t>DNSE's loan book over the sum of loan books of every securities company with filings on Vietcap's service (step 01c). The number of firms filing changes over time, which is shown in the last column.</t>
  </si>
  <si>
    <t>Vietnamese securities industry, second quarter of 2026</t>
  </si>
  <si>
    <t>Lending balances and pre-tax profit from quarterly financial statements. Shares are formulas against the industry total in the assumption cell below.</t>
  </si>
  <si>
    <t>Lending balance, VND bn</t>
  </si>
  <si>
    <t>Share of industry, per cent</t>
  </si>
  <si>
    <t>Q2 2026 pre-tax profit, VND bn</t>
  </si>
  <si>
    <t>HOSE brokerage share, per cent</t>
  </si>
  <si>
    <t>Year on year +21.0%</t>
  </si>
  <si>
    <t>Year on year +27.6%</t>
  </si>
  <si>
    <t>Year on year +293.2%</t>
  </si>
  <si>
    <t>Year on year +56.8%</t>
  </si>
  <si>
    <t>Year on year +42.0%</t>
  </si>
  <si>
    <t>Year on year +28.1%</t>
  </si>
  <si>
    <t>Year on year +38.4%</t>
  </si>
  <si>
    <t>Year on year -95.3%</t>
  </si>
  <si>
    <t>Year on year +126.5%</t>
  </si>
  <si>
    <t>SHS</t>
  </si>
  <si>
    <t>Year on year -80.6%</t>
  </si>
  <si>
    <t>Year on year +7.0%</t>
  </si>
  <si>
    <t>Firms listed above</t>
  </si>
  <si>
    <t>Industry total lending</t>
  </si>
  <si>
    <t>The 453,800 figure is total lending, which includes advances against sale proceeds. Press estimates of margin lending alone for the same date cluster around 445,000. The firms with filings on Vietcap, listed and UPCoM brokers, account for about three quarters of it.</t>
  </si>
  <si>
    <t>Previous quarter industry total</t>
  </si>
  <si>
    <t>Quarterly growth in industry lending, per cent, reported as 7</t>
  </si>
  <si>
    <t>All 42 brokers with filings, lending 30 June 2026</t>
  </si>
  <si>
    <t>Sum of every securities company's filed loan book (step 01c); share of the press industry total</t>
  </si>
  <si>
    <t>Same brokers, 31 March 2026</t>
  </si>
  <si>
    <t>Quarterly growth of the filed total, per cent: a check on the reported 7</t>
  </si>
  <si>
    <t>Every securities company with filings, summed by quarter</t>
  </si>
  <si>
    <t>VND billion. Each line is the sum across every firm that reported it that quarter, DNSE included, from the statements pulled by 01c. Unlisted foreign-owned brokers do not file here, so the lending total sits about a quarter below the industry figure the press compiles.</t>
  </si>
  <si>
    <t>Firms filing</t>
  </si>
  <si>
    <t>Lending</t>
  </si>
  <si>
    <t>Equity</t>
  </si>
  <si>
    <t>Brokerage revenue</t>
  </si>
  <si>
    <t>Brokerage direct cost</t>
  </si>
  <si>
    <t>Customer cash for trading</t>
  </si>
  <si>
    <t>DNSE lending</t>
  </si>
  <si>
    <t>DNSE share of lending, per cent</t>
  </si>
  <si>
    <t>Where DNSE is large and where it is small</t>
  </si>
  <si>
    <t>Each row compares DNSE against its own denominator. The five denominators differ, so the rows measure position in five separate markets rather than five slices of one market.</t>
  </si>
  <si>
    <t>Market total</t>
  </si>
  <si>
    <t>DNSE share, per cent</t>
  </si>
  <si>
    <t>Customer accounts</t>
  </si>
  <si>
    <t>DNSE: 1.7 million at 30 June 2026, company statement. Market: VSDC homepage counter of investor trading accounts, 2026-09-24. The dates differ, which understates DNSE's share slightly</t>
  </si>
  <si>
    <t>Derivatives brokerage</t>
  </si>
  <si>
    <t>per cent of traded value</t>
  </si>
  <si>
    <t>HNX Q2 2026 announcement, rank 2 of 10</t>
  </si>
  <si>
    <t>HNX listed-share brokerage</t>
  </si>
  <si>
    <t>HNX Q2 2026 announcement, rank 8 of 10</t>
  </si>
  <si>
    <t>HOSE listed-share brokerage</t>
  </si>
  <si>
    <t>Not in the top ten. Tenth place held 2.94 per cent, so DNSE is below that</t>
  </si>
  <si>
    <t>Lending balance</t>
  </si>
  <si>
    <t>DNSE filed statements, 30 June 2026; industry total from Vietstock</t>
  </si>
  <si>
    <t>Q2 2026 pre-tax profit</t>
  </si>
  <si>
    <t>DNSE: reviewed half year less Q1. Total: sum of the firms on the Industry cross-section sheet</t>
  </si>
  <si>
    <t>The monetisation gap</t>
  </si>
  <si>
    <t>Reading</t>
  </si>
  <si>
    <t>HNX trading share divided by account share</t>
  </si>
  <si>
    <t>An average DNSE account trades at this fraction of the value of an average market account</t>
  </si>
  <si>
    <t>Lending share divided by account share</t>
  </si>
  <si>
    <t>An average DNSE account carries this fraction of the borrowing of an average market account</t>
  </si>
  <si>
    <t>Derivatives share divided by account share</t>
  </si>
  <si>
    <t>Above one, so the derivatives franchise runs ahead of the account base</t>
  </si>
  <si>
    <t>Vietnamese market and macro series, 2018 to 2026</t>
  </si>
  <si>
    <t>Index levels and traded value from Vietcap's daily price service; accounts from VSDC annual reports and its homepage counter; macro from the World Bank WDI API and NSO releases. 2026 market rows run to 2026-09-24.</t>
  </si>
  <si>
    <t>Markets, by year</t>
  </si>
  <si>
    <t>Series</t>
  </si>
  <si>
    <t>2018</t>
  </si>
  <si>
    <t>2019</t>
  </si>
  <si>
    <t>2020</t>
  </si>
  <si>
    <t>2021</t>
  </si>
  <si>
    <t>2022</t>
  </si>
  <si>
    <t>2023</t>
  </si>
  <si>
    <t>2024</t>
  </si>
  <si>
    <t>2025</t>
  </si>
  <si>
    <t>2026</t>
  </si>
  <si>
    <t>VN-Index, year-end close</t>
  </si>
  <si>
    <t>VN-Index, change on year, per cent</t>
  </si>
  <si>
    <t>HOSE average daily traded value, VND bn</t>
  </si>
  <si>
    <t>Order matching and put-through</t>
  </si>
  <si>
    <t>HNX-Index, year-end close</t>
  </si>
  <si>
    <t>HNX average daily traded value, VND bn</t>
  </si>
  <si>
    <t>UPCoM-Index, year-end close</t>
  </si>
  <si>
    <t>UPCoM average daily traded value, VND bn</t>
  </si>
  <si>
    <t>VN30 futures front month, average daily value, VND bn</t>
  </si>
  <si>
    <t>Contracts x close x VND 100,000; the service's own value field is unusable before July 2024</t>
  </si>
  <si>
    <t>DSE share price, year-end close, VND</t>
  </si>
  <si>
    <t>Listed on HOSE in 2024; prices adjusted</t>
  </si>
  <si>
    <t>Securities accounts, year end</t>
  </si>
  <si>
    <t>All investor accounts, VSDC</t>
  </si>
  <si>
    <t>VSDC annual reports; 2026 is the homepage counter on 2026-09-24</t>
  </si>
  <si>
    <t>Domestic investors</t>
  </si>
  <si>
    <t>VSDC annual reports</t>
  </si>
  <si>
    <t>Foreign investors</t>
  </si>
  <si>
    <t>Opened during the year</t>
  </si>
  <si>
    <t>Growth in all accounts, per cent</t>
  </si>
  <si>
    <t>2026 is year to date</t>
  </si>
  <si>
    <t>DNSE accounts</t>
  </si>
  <si>
    <t>DNSE annual report 2025, figure 22; 2026 is 30 June, company statement</t>
  </si>
  <si>
    <t>DNSE share of all accounts, per cent</t>
  </si>
  <si>
    <t>2026 mixes 30 June for DNSE with September for the market</t>
  </si>
  <si>
    <t>DNSE share of accounts opened, per cent</t>
  </si>
  <si>
    <t>Net increase in DNSE accounts over VSDC openings, so a floor on DNSE's share of gross openings</t>
  </si>
  <si>
    <t>Macro, World Bank WDI (last updated 2026-07-13)</t>
  </si>
  <si>
    <t>Indicator</t>
  </si>
  <si>
    <t>WDI code</t>
  </si>
  <si>
    <t>GDP growth, per cent</t>
  </si>
  <si>
    <t>NY.GDP.MKTP.KD.ZG</t>
  </si>
  <si>
    <t>Consumer price inflation, per cent</t>
  </si>
  <si>
    <t>FP.CPI.TOTL.ZG</t>
  </si>
  <si>
    <t>GDP per capita, current USD</t>
  </si>
  <si>
    <t>NY.GDP.PCAP.CD</t>
  </si>
  <si>
    <t>Gross savings, per cent of GDP</t>
  </si>
  <si>
    <t>NY.GNS.ICTR.ZS</t>
  </si>
  <si>
    <t>Household consumption, per cent of GDP</t>
  </si>
  <si>
    <t>NE.CON.PRVT.ZS</t>
  </si>
  <si>
    <t>Deposit interest rate, per cent</t>
  </si>
  <si>
    <t>FR.INR.DPST</t>
  </si>
  <si>
    <t>Lending interest rate, per cent</t>
  </si>
  <si>
    <t>FR.INR.LEND</t>
  </si>
  <si>
    <t>Domestic credit to the private sector, per cent of GDP</t>
  </si>
  <si>
    <t>FS.AST.PRVT.GD.ZS</t>
  </si>
  <si>
    <t>Broad money, per cent of GDP</t>
  </si>
  <si>
    <t>FM.LBL.BMNY.GD.ZS</t>
  </si>
  <si>
    <t>Market capitalisation of listed companies, per cent of GDP</t>
  </si>
  <si>
    <t>CM.MKT.LCAP.GD.ZS</t>
  </si>
  <si>
    <t>Value of stocks traded, per cent of GDP</t>
  </si>
  <si>
    <t>CM.MKT.TRAD.GD.ZS</t>
  </si>
  <si>
    <t>Unemployment, per cent of labour force</t>
  </si>
  <si>
    <t>SL.UEM.TOTL.ZS</t>
  </si>
  <si>
    <t>Official exchange rate, VND per USD</t>
  </si>
  <si>
    <t>PA.NUS.FCRF</t>
  </si>
  <si>
    <t>Population</t>
  </si>
  <si>
    <t>SP.POP.TOTL</t>
  </si>
  <si>
    <t>Internet users, per cent of population</t>
  </si>
  <si>
    <t>IT.NET.USER.ZS</t>
  </si>
  <si>
    <t>2026 releases, National Statistics Office</t>
  </si>
  <si>
    <t>GDP growth, Q1 2026</t>
  </si>
  <si>
    <t>per cent y/y</t>
  </si>
  <si>
    <t>https://www.nso.gov.vn/tin-tuc-thong-ke/2026/07/mot-so-net-chinh-tinh-hinh-kinh-te-xa-hoi-quy-ii-va-6-thang-dau-nam-2026/</t>
  </si>
  <si>
    <t>GDP growth, Q2 2026</t>
  </si>
  <si>
    <t>GDP growth, H1 2026</t>
  </si>
  <si>
    <t>Average monthly income of workers, Q2 2026</t>
  </si>
  <si>
    <t>VND million, about</t>
  </si>
  <si>
    <t>Exports, H1 2026</t>
  </si>
  <si>
    <t>Imports, H1 2026</t>
  </si>
  <si>
    <t>CPI, June 2026</t>
  </si>
  <si>
    <t>https://www.nso.gov.vn/tin-tuc-thong-ke/2026/07/chi-so-gia-tieu-dung-chi-so-gia-vang-va-chi-so-gia-do-la-my-thang-sau-quy-ii-va-6-thang-dau-nam-2026/</t>
  </si>
  <si>
    <t>Core inflation, June 2026</t>
  </si>
  <si>
    <t>CPI, August 2026</t>
  </si>
  <si>
    <t>https://www.nso.gov.vn/tin-tuc-thong-ke/2026/09/mot-so-net-chinh-tinh-hinh-kinh-te-xa-hoi-thang-tam-va-8-thang-nam-2026/</t>
  </si>
  <si>
    <t>CPI, average of eight months 2026</t>
  </si>
  <si>
    <t>Retail sales, August 2026</t>
  </si>
  <si>
    <t>Google Play reviews: DNSE Entrade X and two competitors</t>
  </si>
  <si>
    <t>Collected 20 to 21 September 2026 from the public Google Play listings. The cleaning rule described below was applied identically to all three applications.</t>
  </si>
  <si>
    <t>Method</t>
  </si>
  <si>
    <t>Retrieval</t>
  </si>
  <si>
    <t>Google Play public review listing, paginated through the store's own continuation token. Fields captured: review id, author, star rating, text, timestamp, helpfulness votes. No authentication.</t>
  </si>
  <si>
    <t>Normalisation</t>
  </si>
  <si>
    <t>Every review text was converted to a comparable form before filtering: Unicode compatibility composition, then decomposition with combining marks removed, then lower case. The first step matters because much of the loan spam disguises itself with mathematical alphanumeric characters such as VayTotNhat, which plain keyword filters miss.</t>
  </si>
  <si>
    <t>Loan spam rule</t>
  </si>
  <si>
    <t>vay 9 | vaytotnhat | vay t?o?t nhat | ktien | vayhangdau | vay333 | vayfe | fbvay | c0m | vay 0 % | vay von 0</t>
  </si>
  <si>
    <t>Referral spam rule</t>
  </si>
  <si>
    <t>A referral phrase (nhap ma, ma gioi thieu, ma nguoi gioi thieu, ma gt, ma gth, ma moi, ma dai ly, ma vip, ma nhan thuong) within 40 characters of a code or a reward amount; or a code within 20 characters of a reward amount; or a six-digit code written against 'ma'. A code is six digits that are not a round sum or one repeated digit, or four to eight capitals and digits with at least one of each (MFBCFA only after a named referral phrase), excluding VN30 futures, index and covered-warrant codes. A phrase alone is not enough: 'nhap ma OTP' is an onboarding complaint and 'ma moi' is also 'mà mỗi'.</t>
  </si>
  <si>
    <t>Duplicate rule</t>
  </si>
  <si>
    <t>The same normalised text of 20 or more alphanumeric characters, or the same text again from the same author. The earliest copy is kept. Short texts such as 'good' recur because many people write them, so they stay in and are handled by the generic flag.</t>
  </si>
  <si>
    <t>Generic flag</t>
  </si>
  <si>
    <t>A retained review of a single word carrying no theme, for example tot, hay, ok. Counted separately rather than removed, so that a year full of one-word praise cannot be read as satisfaction. The sensitivity table below repeats the split under two- and four-word rules.</t>
  </si>
  <si>
    <t>Theme tags</t>
  </si>
  <si>
    <t>Non-exclusive whole-word keyword matches on the normalised text. Syllables that collide once tone marks are removed (lỗi/lời/lợi, lừa/lựa, sập/sắp, thưởng/thường) are matched with their accents or inside longer phrases. A review may carry several themes or none.</t>
  </si>
  <si>
    <t>Revision</t>
  </si>
  <si>
    <t>The rules were revised on 23 September 2026 after a code audit. Re-running the previous rules on the same pull reproduces the earlier published cleaning log exactly.</t>
  </si>
  <si>
    <t>Known limitation</t>
  </si>
  <si>
    <t>App store reviews are self-selected and over-represent dissatisfied users. The peer comparison mitigates this partially, because the same bias applies to all three applications. The VPS sample is its 1,200 most recent reviews, back to 2023-03-27; the listing goes back further.</t>
  </si>
  <si>
    <t>Cleaning log</t>
  </si>
  <si>
    <t>Stage</t>
  </si>
  <si>
    <t>VPS SmartOne</t>
  </si>
  <si>
    <t>FPTS EzTrade</t>
  </si>
  <si>
    <t>Reviews retrieved</t>
  </si>
  <si>
    <t>Full available history except VPS, its 1,200 most recent</t>
  </si>
  <si>
    <t>Loan advertising removed</t>
  </si>
  <si>
    <t>Referral farming removed</t>
  </si>
  <si>
    <t>Duplicates removed</t>
  </si>
  <si>
    <t>Reviews retained</t>
  </si>
  <si>
    <t>Removed as a share of the pull, per cent</t>
  </si>
  <si>
    <t>Mean rating before cleaning</t>
  </si>
  <si>
    <t>Mean rating after cleaning</t>
  </si>
  <si>
    <t>Mean rating of removed material</t>
  </si>
  <si>
    <t>Cleaning lowers the DNSE mean because the spam removed is rated more favourably than the genuine reviews left behind</t>
  </si>
  <si>
    <t>DNSE ratings by year</t>
  </si>
  <si>
    <t>Year</t>
  </si>
  <si>
    <t>Retrieved</t>
  </si>
  <si>
    <t>Removed</t>
  </si>
  <si>
    <t>Removed, per cent</t>
  </si>
  <si>
    <t>Retained</t>
  </si>
  <si>
    <t>Mean, retained</t>
  </si>
  <si>
    <t>Generic, of retained</t>
  </si>
  <si>
    <t>Total</t>
  </si>
  <si>
    <t>DNSE substantive ratings by year</t>
  </si>
  <si>
    <t>Substantive reviews</t>
  </si>
  <si>
    <t>Mean rating</t>
  </si>
  <si>
    <t>Generic share of retained, per cent</t>
  </si>
  <si>
    <t>Highest mean of any year, and also the highest share of one-word reviews</t>
  </si>
  <si>
    <t>Substantive rating falls by 1.77 stars on a sample of 139 against 128</t>
  </si>
  <si>
    <t>Generic-flag sensitivity</t>
  </si>
  <si>
    <t>Generic %, 1 word</t>
  </si>
  <si>
    <t>Substantive mean, 1 word</t>
  </si>
  <si>
    <t>Generic %, 4 words</t>
  </si>
  <si>
    <t>Substantive mean, 4 words</t>
  </si>
  <si>
    <t>The 2024 to 2025 fall holds under either rule</t>
  </si>
  <si>
    <t>Complaint themes</t>
  </si>
  <si>
    <t>Theme</t>
  </si>
  <si>
    <t>One and two star</t>
  </si>
  <si>
    <t>Three star</t>
  </si>
  <si>
    <t>Four and five star</t>
  </si>
  <si>
    <t>All retained</t>
  </si>
  <si>
    <t>Share of negatives, per cent</t>
  </si>
  <si>
    <t>onboarding</t>
  </si>
  <si>
    <t>Account opening, eKYC, OTP, NFC identity capture</t>
  </si>
  <si>
    <t>stability</t>
  </si>
  <si>
    <t>App crashes, freezes, login failures, slow order routing</t>
  </si>
  <si>
    <t>money</t>
  </si>
  <si>
    <t>Deposits not credited, withdrawal delays, T+ settlement</t>
  </si>
  <si>
    <t>promo</t>
  </si>
  <si>
    <t>Sign-up bonus terms, advertised rewards not received</t>
  </si>
  <si>
    <t>fees</t>
  </si>
  <si>
    <t>Commission and charges differing from the advertised rate</t>
  </si>
  <si>
    <t>fraud</t>
  </si>
  <si>
    <t>Explicit accusation of deception or fake reviews</t>
  </si>
  <si>
    <t>closure</t>
  </si>
  <si>
    <t>Cannot close the account, closure fee</t>
  </si>
  <si>
    <t>yield</t>
  </si>
  <si>
    <t>Idle-cash auto-earning feature (tai khoan khong ngu)</t>
  </si>
  <si>
    <t>influencer</t>
  </si>
  <si>
    <t>Reached the app through a YouTube or social referral</t>
  </si>
  <si>
    <t>zalopay</t>
  </si>
  <si>
    <t>ZaloPay linkage and its transaction charge</t>
  </si>
  <si>
    <t>ui</t>
  </si>
  <si>
    <t>Interface, charts, layout, usability</t>
  </si>
  <si>
    <t>Reviews in each rating band</t>
  </si>
  <si>
    <t>Themes are not exclusive, so the theme rows above sum to more than the band totals</t>
  </si>
  <si>
    <t>Three-application comparison</t>
  </si>
  <si>
    <t>Application</t>
  </si>
  <si>
    <t>Mean 2025</t>
  </si>
  <si>
    <t>Mean 2026</t>
  </si>
  <si>
    <t>One star share, per cent</t>
  </si>
  <si>
    <t>DNSE Entrade X</t>
  </si>
  <si>
    <t>App Store cross-check: cleaning log</t>
  </si>
  <si>
    <t>Referral removed</t>
  </si>
  <si>
    <t>Store rating, all ratings</t>
  </si>
  <si>
    <t>Period and rating count</t>
  </si>
  <si>
    <t>2020-11-02 to 2026-09-21; 1,490 star ratings, most without text</t>
  </si>
  <si>
    <t>2021-01-01 to 2026-09-13; 5,756 star ratings, most without text</t>
  </si>
  <si>
    <t>2025-02-24 to 2026-09-08; Apple reports 76 ratings, fewer than the written reviews, so its count likely covers the current version only</t>
  </si>
  <si>
    <t>Google Play against the App Store, 2025-01-01 to 2026-09-21</t>
  </si>
  <si>
    <t>Google Play, n</t>
  </si>
  <si>
    <t>Google Play, mean</t>
  </si>
  <si>
    <t>Google Play, one star %</t>
  </si>
  <si>
    <t>App Store, n</t>
  </si>
  <si>
    <t>App Store, mean</t>
  </si>
  <si>
    <t>App Store, one star %</t>
  </si>
  <si>
    <t>DNSE one and two star reviews by theme and store, 2025-01-01 to 2026-09-21</t>
  </si>
  <si>
    <t>Google Play, % of negatives</t>
  </si>
  <si>
    <t>App Store, % of negatives</t>
  </si>
  <si>
    <t>Both stores, n</t>
  </si>
  <si>
    <t>One and two star reviews</t>
  </si>
  <si>
    <t>Themes are not exclusive</t>
  </si>
  <si>
    <t>Any of: stability, onboarding</t>
  </si>
  <si>
    <t>Each review counted once even if it carries both themes</t>
  </si>
  <si>
    <t>Any of: fraud, promo</t>
  </si>
  <si>
    <t>DNSE on the App Store by year</t>
  </si>
  <si>
    <t>Feed coverage is partial before 2025</t>
  </si>
  <si>
    <t>Selected DNSE reviews</t>
  </si>
  <si>
    <t>Fifty reviews chosen as the most upvoted within each complaint theme, plus the most upvoted substantive positive reviews. Text is Vietnamese as written, truncated to 150 characters.</t>
  </si>
  <si>
    <t>Review id</t>
  </si>
  <si>
    <t>Stars</t>
  </si>
  <si>
    <t>Date</t>
  </si>
  <si>
    <t>Helpful votes</t>
  </si>
  <si>
    <t>Themes</t>
  </si>
  <si>
    <t>Text</t>
  </si>
  <si>
    <t>cf18775a</t>
  </si>
  <si>
    <t>2025-05-24</t>
  </si>
  <si>
    <t>onboarding|closure</t>
  </si>
  <si>
    <t>Bị gài rồi, bạn nào muốn đăng kí thì phải biết 1 điều là k thể hủy đăng ký kể cả khi tài khoản chưa được duyệt cũng không hủy được, và cái đoạn chụp h</t>
  </si>
  <si>
    <t>e8fe4927</t>
  </si>
  <si>
    <t>2021-09-23</t>
  </si>
  <si>
    <t>23.09.2021 đk lúc 10h sáng chờ tới gần 13h chưa vào đc mà cứ thông báo phải đợi 1h xác thực. app này có vấn đề chắc lun, đụng tới tiền bạc mà cứ lề mề</t>
  </si>
  <si>
    <t>5efad1d8</t>
  </si>
  <si>
    <t>2025-07-12</t>
  </si>
  <si>
    <t>không quét dc nfc là sao. đăng kí mà khó thế.😅</t>
  </si>
  <si>
    <t>e752ae28</t>
  </si>
  <si>
    <t>2025-05-31</t>
  </si>
  <si>
    <t>có cái mã otp mà mãi dell gửi dc</t>
  </si>
  <si>
    <t>ec7cd283</t>
  </si>
  <si>
    <t>2025-04-17</t>
  </si>
  <si>
    <t>đăng ký xác thực 5 lần ko đc cứ bảo vì hình chụp bị mờ</t>
  </si>
  <si>
    <t>91029c97</t>
  </si>
  <si>
    <t>2025-06-02</t>
  </si>
  <si>
    <t>stability|money</t>
  </si>
  <si>
    <t>Khi nạp tiền không vào giờ giao dịch, dù tiền đã trừ ở tài khoản ngân hàng, nhưng tài khoản chứng khoán không nhận được. Liên hệ cả bộ phận CSKH thì p</t>
  </si>
  <si>
    <t>f95e155b</t>
  </si>
  <si>
    <t>2024-08-07</t>
  </si>
  <si>
    <t>stability|ui</t>
  </si>
  <si>
    <t>Từ ngày 6 đến nay chart, thông tin ....đều bị đơ mà không có bất kỳ thông nào. Cái duy nhất còn hiển thị là phần tin tức. Liên quan đến tiền mà Ad chơ</t>
  </si>
  <si>
    <t>d7b0e147</t>
  </si>
  <si>
    <t>2025-04-08</t>
  </si>
  <si>
    <t>onboarding|stability</t>
  </si>
  <si>
    <t>mã otp bị lỗi</t>
  </si>
  <si>
    <t>4b62d195</t>
  </si>
  <si>
    <t>2021-08-22</t>
  </si>
  <si>
    <t>Điện thoại CMT nét như gì cứ bảo chùi camera, ko xác thực nổi đã thế còn lỗi liên tục, ko nên tải app này</t>
  </si>
  <si>
    <t>975c8060</t>
  </si>
  <si>
    <t>2025-07-25</t>
  </si>
  <si>
    <t>lỗi đăng nhập ko vào được thì mất tiền 100%</t>
  </si>
  <si>
    <t>564355fd</t>
  </si>
  <si>
    <t>2025-06-28</t>
  </si>
  <si>
    <t>money|promo|fraud</t>
  </si>
  <si>
    <t>lừa đảo thông tin sai sự thật không có vụ được 100k liền đâu phải nạp tiền vào tối thiểu 2tr mới được</t>
  </si>
  <si>
    <t>940c13ed</t>
  </si>
  <si>
    <t>2025-01-27</t>
  </si>
  <si>
    <t>Giam tiền nạp thì lẹ bán cổ phiếu ra tiền thì k cho rút muốn rút phải ứng tiền phí cực chát.</t>
  </si>
  <si>
    <t>0a2388c6</t>
  </si>
  <si>
    <t>2025-08-20</t>
  </si>
  <si>
    <t xml:space="preserve">cty khá ok chỉ có điều làm lâu lâu chuyển khoản vào mà hệ thống ngân hàng bị lỗi ( chờ xử lý) khi ngân hàng xử lý xong tiền thì đã chuyển nhưng xử lý </t>
  </si>
  <si>
    <t>e74d3efa</t>
  </si>
  <si>
    <t>2024-08-25</t>
  </si>
  <si>
    <t>Chán thật đi uống nước muốn rút tiền mà cứ lỗi</t>
  </si>
  <si>
    <t>811c5661</t>
  </si>
  <si>
    <t>2025-06-09</t>
  </si>
  <si>
    <t>promo|fraud|closure</t>
  </si>
  <si>
    <t>MN CHÚ Ý SCAM NHA KHÔNG NHẬN ĐƯỢC 100K MUỐN XOÁ TK PHẢI TRẢ NÓ 100K ĐỂ XOÁ NÓ LẤY CẮP THÔNG TIN AE CHÚ Ý</t>
  </si>
  <si>
    <t>0db61d25</t>
  </si>
  <si>
    <t>2025-06-07</t>
  </si>
  <si>
    <t>mọi người đừng để bị dụ nhận 100k nha, kh dc đâu</t>
  </si>
  <si>
    <t>0318e923</t>
  </si>
  <si>
    <t>2025-08-06</t>
  </si>
  <si>
    <t>quảng cáo sai sự thật . phải nạp vào trong app 2 triệu mới được 100k . không như quảng cáo là tải app được nhận 100k . 😡😳🤬</t>
  </si>
  <si>
    <t>276fb209</t>
  </si>
  <si>
    <t>2025-06-08</t>
  </si>
  <si>
    <t>promo|fraud</t>
  </si>
  <si>
    <t>scam không như quảng cáo</t>
  </si>
  <si>
    <t>f07f6887</t>
  </si>
  <si>
    <t>2025-06-24</t>
  </si>
  <si>
    <t>promo|fees</t>
  </si>
  <si>
    <t>Phí giao dịch cao, không như quảng cáo. Đánh giá 1* vì sự mập mờ này</t>
  </si>
  <si>
    <t>e6b00c91</t>
  </si>
  <si>
    <t>2025-05-19</t>
  </si>
  <si>
    <t>Thấy bảo miễn phí giao dịch .. mà vẫn mất phí đều đều hây.!!</t>
  </si>
  <si>
    <t>92b7466a</t>
  </si>
  <si>
    <t>2022-09-05</t>
  </si>
  <si>
    <t>phí rẻ nhưng hay lỗi hệ thống cần nâng cấp lên cho bằng các cty khác.</t>
  </si>
  <si>
    <t>ee1f33ca</t>
  </si>
  <si>
    <t>2025-03-24</t>
  </si>
  <si>
    <t>Công ty lừa đảo. Ghi phí 0.045%, nhưng nó tính 0.5%</t>
  </si>
  <si>
    <t>d63fde57</t>
  </si>
  <si>
    <t>2025-04-18</t>
  </si>
  <si>
    <t>như lừa đảo z</t>
  </si>
  <si>
    <t>023d90b3</t>
  </si>
  <si>
    <t>stability|fraud</t>
  </si>
  <si>
    <t>app này MN nên cẩn thận nó lừa đó vì chọn đăng nhập thì kh thể hủy đc với lại lượt đánh giá toàn là đánh giá ảo nên đừng tin</t>
  </si>
  <si>
    <t>ba551fd3</t>
  </si>
  <si>
    <t>2025-06-25</t>
  </si>
  <si>
    <t>!!!! Lưu ý nha anh em LỪA ĐẢO ĂN THÔNG TIN KHÁCH HÀNG !!! ĐÁNH GIÁ 5 ☆ ĐỀU LÀ GIẢ !!!</t>
  </si>
  <si>
    <t>9d0f25ad</t>
  </si>
  <si>
    <t>2024-04-28</t>
  </si>
  <si>
    <t>Tao muốn xóa hợp đồng vĩnh viễn</t>
  </si>
  <si>
    <t>2513906a</t>
  </si>
  <si>
    <t>2025-01-23</t>
  </si>
  <si>
    <t>promo|fees|closure</t>
  </si>
  <si>
    <t>Này thì đóng tài khoản mất phí 100k. Lần đầu tiên t nghe có 1 ctck đóng tài khoản mất 100k. Mà giữ tk để cập nhật thông tin thì không được. Chốt 1 sao</t>
  </si>
  <si>
    <t>bf576f62</t>
  </si>
  <si>
    <t>2025-10-14</t>
  </si>
  <si>
    <t>ko bt dùng cũng ko cho xóa tài khoản tôi muốn xóa tài khoản</t>
  </si>
  <si>
    <t>0fa0a9f4</t>
  </si>
  <si>
    <t>2022-06-26</t>
  </si>
  <si>
    <t>Làm sao để xóa tài khoản ạ</t>
  </si>
  <si>
    <t>6e881a12</t>
  </si>
  <si>
    <t>2025-05-18</t>
  </si>
  <si>
    <t>vì thấy qc app này qua green tuber nên tải và cho 1 sao nè</t>
  </si>
  <si>
    <t>b2970aa5</t>
  </si>
  <si>
    <t>2021-08-24</t>
  </si>
  <si>
    <t>money|influencer</t>
  </si>
  <si>
    <t>Không nhận được tiền đâu, và mấy thằng youtube cũng luôn thổi phồng lên. Nhóm chúng tôi 33k thành viên. và được trả phí nên app này không trả tiền cho</t>
  </si>
  <si>
    <t>3217d538</t>
  </si>
  <si>
    <t>2025-04-04</t>
  </si>
  <si>
    <t>coi ytb quản cáo hoài</t>
  </si>
  <si>
    <t>523d5f8f</t>
  </si>
  <si>
    <t>2025-04-30</t>
  </si>
  <si>
    <t>mấy app của Học Viện Bò và Gấu :)))</t>
  </si>
  <si>
    <t>658a04b9</t>
  </si>
  <si>
    <t>2024-12-25</t>
  </si>
  <si>
    <t>promo|fraud|influencer</t>
  </si>
  <si>
    <t>lùa đảo tải đường linh của học viện bò và gấu rồi mà ko được tăng 200k</t>
  </si>
  <si>
    <t>db32d5d4</t>
  </si>
  <si>
    <t>2025-08-24</t>
  </si>
  <si>
    <t>app có liên kết với zalopay để giao dịch, nhưng khi liên kết sẽ bị zalopay trừ 0,12% mỗi giao dịch mà liên kết này không thể gỡ được. điểm trừ quá lớn</t>
  </si>
  <si>
    <t>31147446</t>
  </si>
  <si>
    <t>2026-07-05</t>
  </si>
  <si>
    <t>stability|fraud|zalopay</t>
  </si>
  <si>
    <t>Nền tảng thiếu minh bạch, hoạt động chậm, trung gian, phát sinh nhiều loại chi phí. bị zalopay lừa mua chứng khoán hoàn 50k nên dính bê bôi pnj chán..</t>
  </si>
  <si>
    <t>d2094e6d</t>
  </si>
  <si>
    <t>2025-06-22</t>
  </si>
  <si>
    <t>onboarding|stability|fraud|ui</t>
  </si>
  <si>
    <t>phần yêu cầu xác minh quá rắc rối và lừa đảo. Xác minh 3 lần không lỗi chân dung thì lỗi cccd, hơn nữa phần cuộc thi trading còn có người đánh lãi mấy</t>
  </si>
  <si>
    <t>042dbd9d</t>
  </si>
  <si>
    <t>2026-07-29</t>
  </si>
  <si>
    <t>app tệ. từ giao diện cho đến chức năng. đồ Việt có khác:))))</t>
  </si>
  <si>
    <t>248db681</t>
  </si>
  <si>
    <t>2026-05-15</t>
  </si>
  <si>
    <t>stability|yield|influencer|ui</t>
  </si>
  <si>
    <t>Ngoại trừ lâu lâu hay lỗi, thì thực ra tcx, vpx, ssi cũng lỗi bấy bá, thì thực sự app dnse là app ck tốt nhất ttck vn rồi. - phí thấp - tk không ngủ t</t>
  </si>
  <si>
    <t>209c03a4</t>
  </si>
  <si>
    <t>2026-01-22</t>
  </si>
  <si>
    <t>tôi đan dùng về tiền không ngủ và sinh lời tự động quá linh hoạ tuyệt vời 🎉🎉❤️</t>
  </si>
  <si>
    <t>fa30782f</t>
  </si>
  <si>
    <t>2025-11-27</t>
  </si>
  <si>
    <t>yield|ui</t>
  </si>
  <si>
    <t xml:space="preserve">App đặt lệnh dễ dàng nhanh chóng không phải dùng nhiều thao tác. Xem thông tin, tin tức rõ ràng, dễ nhìn nhờ cỡ chữ vừa vặn và tự động thích nghi với </t>
  </si>
  <si>
    <t>4094bad4</t>
  </si>
  <si>
    <t>2025-05-04</t>
  </si>
  <si>
    <t>Giao diện đơn giản,thuận tiện,phí thấp</t>
  </si>
  <si>
    <t>06c66fa6</t>
  </si>
  <si>
    <t>mong muốn che số dư, khối lượng như vps</t>
  </si>
  <si>
    <t>a018878c</t>
  </si>
  <si>
    <t>2024-11-13</t>
  </si>
  <si>
    <t>money|promo|influencer</t>
  </si>
  <si>
    <t>mình đã quá chán nản khuyến nghị của các broker ít kinh nghiệm thì tìm thấy dnse, khuyến nghị của app khá ok với nhà đầu tư nhỏ lẻ, ít kinh nghiệm như</t>
  </si>
  <si>
    <t>3098e894</t>
  </si>
  <si>
    <t>2025-05-08</t>
  </si>
  <si>
    <t>ko bị lag như bên ssi iboard</t>
  </si>
  <si>
    <t>5529fbb6</t>
  </si>
  <si>
    <t>2025-07-09</t>
  </si>
  <si>
    <t>Sao mãi chưa thấy tính năng gửi thông báo thế DNSE ơi? Có setting thông báo các kiểu nhưng không nhận được thông báo nào cả.</t>
  </si>
  <si>
    <t>10f974fe</t>
  </si>
  <si>
    <t>2024-10-12</t>
  </si>
  <si>
    <t>có rút được tiền ko mọi người</t>
  </si>
  <si>
    <t>d3a9f078</t>
  </si>
  <si>
    <t>2024-12-21</t>
  </si>
  <si>
    <t>tiền bán cổ phiếu về chậm quá.</t>
  </si>
  <si>
    <t>2683adda</t>
  </si>
  <si>
    <t>2023-09-01</t>
  </si>
  <si>
    <t>Anh chị bò và gấu là người giúp em nơi em có thể học hỏi về app cảm ơn nhiều</t>
  </si>
  <si>
    <t>1e200051</t>
  </si>
  <si>
    <t>2025-07-04</t>
  </si>
  <si>
    <t>money|influencer|ui</t>
  </si>
  <si>
    <t xml:space="preserve">ủng hộ kênh youtube Bò và Gấu nên cài đặt app và đầu tư. app khá tốt, mình mua bán cp chưa gặp trục trặc gì. có AI hỗ trợ (chỉ ở mức trung bình), nạp </t>
  </si>
  <si>
    <t>Deriving the priority customer segment</t>
  </si>
  <si>
    <t>Every index cell is a formula reading from the 'Segments 2024' sheet, so editing that sheet updates this one. Both indices are unweighted means, because any weighting chosen after seeing the data would be fitted to the result.</t>
  </si>
  <si>
    <t>Assumption</t>
  </si>
  <si>
    <t>Vietnamese adults aged 15 and over, millions</t>
  </si>
  <si>
    <t>General Statistics Office 2024 population structure applied to a population of 102 million</t>
  </si>
  <si>
    <t>Segment population shares</t>
  </si>
  <si>
    <t>see column H</t>
  </si>
  <si>
    <t>Recovered from the Findex estimates themselves: for each complementary pair, All = w x first + (1 - w) x second for every indicator, and w is the median across indicators whose halves differ by more than 5 points. The income pair comes back as its defined 40/60. See implied_share in 04_segment_model.py.</t>
  </si>
  <si>
    <t>Index definitions</t>
  </si>
  <si>
    <t>Index</t>
  </si>
  <si>
    <t>Indicator id</t>
  </si>
  <si>
    <t>Row on Segments 2024</t>
  </si>
  <si>
    <t>A investable surplus</t>
  </si>
  <si>
    <t>fin17a</t>
  </si>
  <si>
    <t>Saved at a bank or similar institution</t>
  </si>
  <si>
    <t>fin17dm</t>
  </si>
  <si>
    <t>Saved into an account, monthly</t>
  </si>
  <si>
    <t>fin8</t>
  </si>
  <si>
    <t>Stores money in an account</t>
  </si>
  <si>
    <t>fin17e</t>
  </si>
  <si>
    <t>Received interest on savings in the past year</t>
  </si>
  <si>
    <t>fin17f</t>
  </si>
  <si>
    <t>Saved for old age</t>
  </si>
  <si>
    <t>fin24bd</t>
  </si>
  <si>
    <t>Could cover more than two months without income</t>
  </si>
  <si>
    <t>B digital habit</t>
  </si>
  <si>
    <t>dig.acc</t>
  </si>
  <si>
    <t>Digitally enabled account</t>
  </si>
  <si>
    <t>con26d</t>
  </si>
  <si>
    <t>Uses the internet daily</t>
  </si>
  <si>
    <t>con9a</t>
  </si>
  <si>
    <t>Main phone is a smartphone</t>
  </si>
  <si>
    <t>fin25e3w</t>
  </si>
  <si>
    <t>In-store mobile or card payment, weekly</t>
  </si>
  <si>
    <t>fin9b</t>
  </si>
  <si>
    <t>Used mobile or internet to check account balance</t>
  </si>
  <si>
    <t>fin32.acc</t>
  </si>
  <si>
    <t>Received wages into an account</t>
  </si>
  <si>
    <t>Segment scores</t>
  </si>
  <si>
    <t>Segment</t>
  </si>
  <si>
    <t>Index A investable</t>
  </si>
  <si>
    <t>Index B digital</t>
  </si>
  <si>
    <t>Composite</t>
  </si>
  <si>
    <t>Account, per cent</t>
  </si>
  <si>
    <t>Saved at an institution, per cent</t>
  </si>
  <si>
    <t>Activation gap, points</t>
  </si>
  <si>
    <t>Population share, per cent</t>
  </si>
  <si>
    <t>Unconverted adults, millions</t>
  </si>
  <si>
    <t>Priority score</t>
  </si>
  <si>
    <t>All adults</t>
  </si>
  <si>
    <t>National benchmark, not a segment.</t>
  </si>
  <si>
    <t>Women</t>
  </si>
  <si>
    <t>Men</t>
  </si>
  <si>
    <t>Young (15-24)</t>
  </si>
  <si>
    <t>Widest separation between digital habit and investable surplus, and the largest activation gap of any segment. Cheap to acquire and hard to fund.</t>
  </si>
  <si>
    <t>Older (25+)</t>
  </si>
  <si>
    <t>Primary educ or less</t>
  </si>
  <si>
    <t>Lowest propensity on both indices.</t>
  </si>
  <si>
    <t>Secondary educ or more</t>
  </si>
  <si>
    <t>Highest priority score, 3.9 per cent above the next.</t>
  </si>
  <si>
    <t>Poorest 40%</t>
  </si>
  <si>
    <t>Richest 60%</t>
  </si>
  <si>
    <t>Third-highest priority score, 9.5 per cent above the next. Highest propensity on both indices.</t>
  </si>
  <si>
    <t>Rural</t>
  </si>
  <si>
    <t>Urban</t>
  </si>
  <si>
    <t>Out of labour force</t>
  </si>
  <si>
    <t>In labour force</t>
  </si>
  <si>
    <t>Second-highest priority score, 11.9 per cent above the next.</t>
  </si>
  <si>
    <t>Spread, Index B less Index A</t>
  </si>
  <si>
    <t>Array formula. The widest spread belongs to adults aged 15 to 24.</t>
  </si>
  <si>
    <t>Vietnam Findex 2024: indicators by segment</t>
  </si>
  <si>
    <t>Percentage of adults aged 15+ in each segment. Source: World Bank Global Findex Database 2025, retrieved via the World Bank API, 20 September 2026.</t>
  </si>
  <si>
    <t>account.t.d</t>
  </si>
  <si>
    <t>Has an account (any)</t>
  </si>
  <si>
    <t>Access</t>
  </si>
  <si>
    <t>fiaccount.t.d</t>
  </si>
  <si>
    <t>Bank or similar institution account</t>
  </si>
  <si>
    <t>mobileaccount.t.d</t>
  </si>
  <si>
    <t>Mobile money account</t>
  </si>
  <si>
    <t>fin2.t.d</t>
  </si>
  <si>
    <t>Owns a debit card</t>
  </si>
  <si>
    <t>fin4.d</t>
  </si>
  <si>
    <t>First account opened to receive wages or government money</t>
  </si>
  <si>
    <t>fin11e</t>
  </si>
  <si>
    <t>No account: family member already has one</t>
  </si>
  <si>
    <t>fin11_2a</t>
  </si>
  <si>
    <t>Could use an account without help if opened</t>
  </si>
  <si>
    <t>g20.any</t>
  </si>
  <si>
    <t>Made or received a digital payment</t>
  </si>
  <si>
    <t>Digital payments</t>
  </si>
  <si>
    <t>g20.made</t>
  </si>
  <si>
    <t>Made a digital payment</t>
  </si>
  <si>
    <t>g20.received</t>
  </si>
  <si>
    <t>Received digital payments</t>
  </si>
  <si>
    <t>fin3</t>
  </si>
  <si>
    <t>Used a card or mobile phone to make payments</t>
  </si>
  <si>
    <t>merchant.pay</t>
  </si>
  <si>
    <t>Made a digital merchant payment</t>
  </si>
  <si>
    <t>fin25e2</t>
  </si>
  <si>
    <t>Used mobile or card to pay for an in-store purchase</t>
  </si>
  <si>
    <t>fin26a</t>
  </si>
  <si>
    <t>Used mobile or internet to pay bills</t>
  </si>
  <si>
    <t>fin26b</t>
  </si>
  <si>
    <t>Used mobile or internet to buy something online</t>
  </si>
  <si>
    <t>fin27a</t>
  </si>
  <si>
    <t>Digital payment for an online purchase</t>
  </si>
  <si>
    <t>fin27b</t>
  </si>
  <si>
    <t>Cash on delivery for an online purchase</t>
  </si>
  <si>
    <t>fin30</t>
  </si>
  <si>
    <t>Made a utility payment</t>
  </si>
  <si>
    <t>fin31a.31b</t>
  </si>
  <si>
    <t>Utility payment using an account</t>
  </si>
  <si>
    <t>fin31d</t>
  </si>
  <si>
    <t>Utility payment in cash only</t>
  </si>
  <si>
    <t>save.any.t.d</t>
  </si>
  <si>
    <t>Saved any money</t>
  </si>
  <si>
    <t>Saving</t>
  </si>
  <si>
    <t>fin17b</t>
  </si>
  <si>
    <t>Saved using a mobile money account</t>
  </si>
  <si>
    <t>borrow.any.t.d</t>
  </si>
  <si>
    <t>Borrowed any money</t>
  </si>
  <si>
    <t>Credit</t>
  </si>
  <si>
    <t>fin22b</t>
  </si>
  <si>
    <t>Borrowed from family or friends</t>
  </si>
  <si>
    <t>fin19</t>
  </si>
  <si>
    <t>Makes regular payments to an insurer</t>
  </si>
  <si>
    <t>Insurance</t>
  </si>
  <si>
    <t>fin32</t>
  </si>
  <si>
    <t>Received wages</t>
  </si>
  <si>
    <t>Income</t>
  </si>
  <si>
    <t>fin34b</t>
  </si>
  <si>
    <t>Received wages through a mobile phone</t>
  </si>
  <si>
    <t>fin42</t>
  </si>
  <si>
    <t>Received payments for agricultural products</t>
  </si>
  <si>
    <t>fin43c</t>
  </si>
  <si>
    <t>Agricultural payments received in cash only</t>
  </si>
  <si>
    <t>fh1.fh2</t>
  </si>
  <si>
    <t>Sent or received domestic remittances</t>
  </si>
  <si>
    <t>fin24aVD</t>
  </si>
  <si>
    <t>Emergency funds possible but very difficult</t>
  </si>
  <si>
    <t>Resilience</t>
  </si>
  <si>
    <t>fin45c</t>
  </si>
  <si>
    <t>Top financial worry: medical costs</t>
  </si>
  <si>
    <t>fin45d</t>
  </si>
  <si>
    <t>Top financial worry: monthly bills</t>
  </si>
  <si>
    <t>fin45a</t>
  </si>
  <si>
    <t>Top financial worry: money for old age</t>
  </si>
  <si>
    <t>internet</t>
  </si>
  <si>
    <t>Used the internet in the past three months</t>
  </si>
  <si>
    <t>Connectivity</t>
  </si>
  <si>
    <t>con1</t>
  </si>
  <si>
    <t>Owns a mobile phone</t>
  </si>
  <si>
    <t>con18</t>
  </si>
  <si>
    <t>Phone is locked with a PIN, password or fingerprint</t>
  </si>
  <si>
    <t>con30c</t>
  </si>
  <si>
    <t>Used social media in the past three months</t>
  </si>
  <si>
    <t>con30f</t>
  </si>
  <si>
    <t>Used apps or websites to earn money</t>
  </si>
  <si>
    <t>Where the segment gaps are widest</t>
  </si>
  <si>
    <t>Every figure is a formula referencing 'Segments 2024', so edits there flow through. Gaps are in percentage points.</t>
  </si>
  <si>
    <t>Income gap (richest 60% less poorest 40%)</t>
  </si>
  <si>
    <t>Education gap (secondary+ less primary or less)</t>
  </si>
  <si>
    <t>Urban less rural</t>
  </si>
  <si>
    <t>Men less women</t>
  </si>
  <si>
    <t>Young less older</t>
  </si>
  <si>
    <t>In work less out of work</t>
  </si>
  <si>
    <t>Vietnam Findex 2024: national figures without a published segment breakdown</t>
  </si>
  <si>
    <t>Percentage of adults aged 15+. These are the indicators the World Bank published for 2024 at national level only.</t>
  </si>
  <si>
    <t>2024 (%)</t>
  </si>
  <si>
    <t>fin11d</t>
  </si>
  <si>
    <t>No account: insufficient funds</t>
  </si>
  <si>
    <t>fin11a</t>
  </si>
  <si>
    <t>No account: institutions are too far away</t>
  </si>
  <si>
    <t>inactive.t.d</t>
  </si>
  <si>
    <t>Has an inactive account</t>
  </si>
  <si>
    <t>fin11b</t>
  </si>
  <si>
    <t>No account: services are too expensive</t>
  </si>
  <si>
    <t>fin11f</t>
  </si>
  <si>
    <t>No account: lack of trust in institutions</t>
  </si>
  <si>
    <t>fin11_1</t>
  </si>
  <si>
    <t>Ever had an account but does not now</t>
  </si>
  <si>
    <t>fin11c</t>
  </si>
  <si>
    <t>No account: lack of documentation</t>
  </si>
  <si>
    <t>con21</t>
  </si>
  <si>
    <t>Received a call or SMS asking for money in the past year</t>
  </si>
  <si>
    <t>con23</t>
  </si>
  <si>
    <t>Received unwanted offensive messages or images</t>
  </si>
  <si>
    <t>fin22a.22a1.22g.d</t>
  </si>
  <si>
    <t>Borrowed from a formal institution or mobile money</t>
  </si>
  <si>
    <t>fin22a</t>
  </si>
  <si>
    <t>Borrowed from a formal financial institution</t>
  </si>
  <si>
    <t>fin10</t>
  </si>
  <si>
    <t>Owns a credit card</t>
  </si>
  <si>
    <t>fin22e</t>
  </si>
  <si>
    <t>Borrowed to start or operate a business</t>
  </si>
  <si>
    <t>fin22f</t>
  </si>
  <si>
    <t>Purchased food on credit</t>
  </si>
  <si>
    <t>fin22d</t>
  </si>
  <si>
    <t>Borrowed for health or medical purposes</t>
  </si>
  <si>
    <t>fin22c</t>
  </si>
  <si>
    <t>Borrowed from a savings club</t>
  </si>
  <si>
    <t>fin22g</t>
  </si>
  <si>
    <t>Used a credit card</t>
  </si>
  <si>
    <t>fin22h</t>
  </si>
  <si>
    <t>Paid credit card balance in full by the due date</t>
  </si>
  <si>
    <t>fin22a_1</t>
  </si>
  <si>
    <t>Borrowed from a mobile money provider</t>
  </si>
  <si>
    <t>fin20</t>
  </si>
  <si>
    <t>Applied for a loan using a mobile phone</t>
  </si>
  <si>
    <t>fin21</t>
  </si>
  <si>
    <t>Received a loan using a mobile phone</t>
  </si>
  <si>
    <t>fin25e4d</t>
  </si>
  <si>
    <t>Pays cash in store out of habit</t>
  </si>
  <si>
    <t>fin25e4a</t>
  </si>
  <si>
    <t>Pays cash in store because the merchant only accepts cash</t>
  </si>
  <si>
    <t>fin25e4e</t>
  </si>
  <si>
    <t>Pays cash in store: other reason</t>
  </si>
  <si>
    <t>fin25e4c</t>
  </si>
  <si>
    <t>Pays cash in store: does not trust card or phone payments</t>
  </si>
  <si>
    <t>fin25e4b</t>
  </si>
  <si>
    <t>Pays cash in store: card or phone is more expensive</t>
  </si>
  <si>
    <t>fh2a</t>
  </si>
  <si>
    <t>Received international remittances</t>
  </si>
  <si>
    <t>fin24c</t>
  </si>
  <si>
    <t>Experienced a natural disaster or severe weather event</t>
  </si>
  <si>
    <t>fin24d1</t>
  </si>
  <si>
    <t>Natural disaster: lost income or could not work</t>
  </si>
  <si>
    <t>fin24ba</t>
  </si>
  <si>
    <t>Could cover less than two weeks without income</t>
  </si>
  <si>
    <t>fin24d2</t>
  </si>
  <si>
    <t>Natural disaster: damage to home or livestock</t>
  </si>
  <si>
    <t>fin24aN</t>
  </si>
  <si>
    <t>Emergency funds not possible at all</t>
  </si>
  <si>
    <t>Vietnam Findex headline indicators, 2011 to 2024</t>
  </si>
  <si>
    <t>Percentage of adults aged 15+. Blank means the question was not asked in that wave. Change columns show percentage points.</t>
  </si>
  <si>
    <t>2011</t>
  </si>
  <si>
    <t>2014</t>
  </si>
  <si>
    <t>2017</t>
  </si>
  <si>
    <t>Change 2017 to 2024</t>
  </si>
  <si>
    <t>Change 2022 to 2024</t>
  </si>
  <si>
    <t>Used mobile or card for an in-store purchase</t>
  </si>
  <si>
    <t>Agricultural payments in cash only</t>
  </si>
  <si>
    <t>Vietnam macro, banking and market reference figures</t>
  </si>
  <si>
    <t>Compiled 20 September 2026. Every row names its period and source. Re-check each figure against the source before citing it in a submission.</t>
  </si>
  <si>
    <t>Category</t>
  </si>
  <si>
    <t>Period</t>
  </si>
  <si>
    <t>Macro</t>
  </si>
  <si>
    <t>GDP growth</t>
  </si>
  <si>
    <t>8.18%</t>
  </si>
  <si>
    <t>National Statistics Office</t>
  </si>
  <si>
    <t>8.39%</t>
  </si>
  <si>
    <t>7.94%</t>
  </si>
  <si>
    <t>National Statistics Office, revised in the Q2 release (first estimate 7.83%)</t>
  </si>
  <si>
    <t>GDP growth forecast</t>
  </si>
  <si>
    <t>7.3%</t>
  </si>
  <si>
    <t>FY2026</t>
  </si>
  <si>
    <t>Bloomberg survey, July 2026</t>
  </si>
  <si>
    <t>6.8%</t>
  </si>
  <si>
    <t>World Bank, May 2026</t>
  </si>
  <si>
    <t>7.2%</t>
  </si>
  <si>
    <t>AMRO</t>
  </si>
  <si>
    <t>CPI inflation</t>
  </si>
  <si>
    <t>4.69% y/y</t>
  </si>
  <si>
    <t>June 2026</t>
  </si>
  <si>
    <t>CPI inflation, average</t>
  </si>
  <si>
    <t>4.38%</t>
  </si>
  <si>
    <t>Core inflation</t>
  </si>
  <si>
    <t>4.50%</t>
  </si>
  <si>
    <t>Retail sales</t>
  </si>
  <si>
    <t>VND 3,889.5tn, +12.9% nominal, +7.3% real</t>
  </si>
  <si>
    <t>FDI registered</t>
  </si>
  <si>
    <t>USD 34.65bn, +61.0%</t>
  </si>
  <si>
    <t>FDI disbursed</t>
  </si>
  <si>
    <t>USD 13.03bn, +11.2%</t>
  </si>
  <si>
    <t>Exports</t>
  </si>
  <si>
    <t>USD 266.52bn, +21.0%</t>
  </si>
  <si>
    <t>Imports</t>
  </si>
  <si>
    <t>USD 283.17bn, +33.4%</t>
  </si>
  <si>
    <t>Trade deficit</t>
  </si>
  <si>
    <t>USD 16.65bn</t>
  </si>
  <si>
    <t>Unemployment rate</t>
  </si>
  <si>
    <t>2.22%</t>
  </si>
  <si>
    <t>Employed persons</t>
  </si>
  <si>
    <t>52.6 million</t>
  </si>
  <si>
    <t>Average monthly income</t>
  </si>
  <si>
    <t>About VND 9.0 million</t>
  </si>
  <si>
    <t>New enterprises registered</t>
  </si>
  <si>
    <t>111.7 thousand, +22.5%</t>
  </si>
  <si>
    <t>Enterprises dissolved</t>
  </si>
  <si>
    <t>About 24.0 thousand, +94.7%</t>
  </si>
  <si>
    <t>Exchange rate</t>
  </si>
  <si>
    <t>About VND 26,000 to 26,300 per USD</t>
  </si>
  <si>
    <t>UOB projections, market data</t>
  </si>
  <si>
    <t>Banking</t>
  </si>
  <si>
    <t>Listed bank total assets</t>
  </si>
  <si>
    <t>Over VND 21 quadrillion, +23%</t>
  </si>
  <si>
    <t>End-2025</t>
  </si>
  <si>
    <t>Listed bank filings</t>
  </si>
  <si>
    <t>Sector total assets including Agribank</t>
  </si>
  <si>
    <t>Roughly VND 24 quadrillion</t>
  </si>
  <si>
    <t>Derived from bank filings</t>
  </si>
  <si>
    <t>Credit growth</t>
  </si>
  <si>
    <t>About 19%</t>
  </si>
  <si>
    <t>SBV, FiinRatings</t>
  </si>
  <si>
    <t>Deposit growth</t>
  </si>
  <si>
    <t>11.4%</t>
  </si>
  <si>
    <t>FiinRatings</t>
  </si>
  <si>
    <t>Credit to GDP</t>
  </si>
  <si>
    <t>Above 140%</t>
  </si>
  <si>
    <t>Net interest margin, sector</t>
  </si>
  <si>
    <t>2.9%</t>
  </si>
  <si>
    <t>Net interest margin, forecast</t>
  </si>
  <si>
    <t>Below 3.0%</t>
  </si>
  <si>
    <t>NIM, state-owned banks</t>
  </si>
  <si>
    <t>2.6%</t>
  </si>
  <si>
    <t>NIM, top four private banks</t>
  </si>
  <si>
    <t>3.9%</t>
  </si>
  <si>
    <t>NIM, other private banks</t>
  </si>
  <si>
    <t>2.7%</t>
  </si>
  <si>
    <t>Non-performing loan ratio</t>
  </si>
  <si>
    <t>About 1.9%</t>
  </si>
  <si>
    <t>Special mention loans</t>
  </si>
  <si>
    <t>1.2%</t>
  </si>
  <si>
    <t>Net write-offs</t>
  </si>
  <si>
    <t>1.3% of average gross loans</t>
  </si>
  <si>
    <t>Return on assets</t>
  </si>
  <si>
    <t>About 1.4%</t>
  </si>
  <si>
    <t>Sector return on equity</t>
  </si>
  <si>
    <t>17 to 18%</t>
  </si>
  <si>
    <t>Market data</t>
  </si>
  <si>
    <t>Cost to income, median</t>
  </si>
  <si>
    <t>51.0%</t>
  </si>
  <si>
    <t>Capital adequacy, median</t>
  </si>
  <si>
    <t>11.9%</t>
  </si>
  <si>
    <t>H1 2025</t>
  </si>
  <si>
    <t>Loan to deposit, state-owned</t>
  </si>
  <si>
    <t>78.3%</t>
  </si>
  <si>
    <t>Loan to deposit, top four private</t>
  </si>
  <si>
    <t>82.8%</t>
  </si>
  <si>
    <t>Loan to deposit, other private</t>
  </si>
  <si>
    <t>71.1%</t>
  </si>
  <si>
    <t>Non-interest income share</t>
  </si>
  <si>
    <t>23.8% of total operating income</t>
  </si>
  <si>
    <t>Lending mix</t>
  </si>
  <si>
    <t>Corporate 54%, retail 46%</t>
  </si>
  <si>
    <t>Real estate and construction loans</t>
  </si>
  <si>
    <t>24.6% of total</t>
  </si>
  <si>
    <t>Twelve-month deposit rates</t>
  </si>
  <si>
    <t>About 7%, some banks above 8%</t>
  </si>
  <si>
    <t>March 2026</t>
  </si>
  <si>
    <t>VinaCapital</t>
  </si>
  <si>
    <t>Listed banks with assets above VND 1 quadrillion</t>
  </si>
  <si>
    <t>Six: BIDV, VietinBank, Vietcombank, MB, VPBank, Techcombank</t>
  </si>
  <si>
    <t>Bank filings</t>
  </si>
  <si>
    <t>BIDV total assets</t>
  </si>
  <si>
    <t>About VND 3.3 quadrillion, +21%</t>
  </si>
  <si>
    <t>VietinBank total assets</t>
  </si>
  <si>
    <t>About VND 2.7 quadrillion, +16%</t>
  </si>
  <si>
    <t>Vietcombank total assets</t>
  </si>
  <si>
    <t>About VND 2.4 quadrillion, +17%</t>
  </si>
  <si>
    <t>VPBank total assets</t>
  </si>
  <si>
    <t>About VND 1.3 quadrillion, +36%</t>
  </si>
  <si>
    <t>Techcombank total assets</t>
  </si>
  <si>
    <t>About VND 1.2 quadrillion, +22%</t>
  </si>
  <si>
    <t>MB total assets</t>
  </si>
  <si>
    <t>Above VND 1,600 trillion, +43% y/y</t>
  </si>
  <si>
    <t>MB 2026 plan</t>
  </si>
  <si>
    <t>MB pre-tax profit</t>
  </si>
  <si>
    <t>VND 34,268 billion, +18.9%</t>
  </si>
  <si>
    <t>MB outstanding loans</t>
  </si>
  <si>
    <t>Above VND 1,000 trillion, +37%</t>
  </si>
  <si>
    <t>MB customers</t>
  </si>
  <si>
    <t>35 million, target 40 million</t>
  </si>
  <si>
    <t>2025 to 2026</t>
  </si>
  <si>
    <t>MBBank app users</t>
  </si>
  <si>
    <t>35 million, largest in Vietnam</t>
  </si>
  <si>
    <t>BIZ MBBank business users</t>
  </si>
  <si>
    <t>More than 358,000</t>
  </si>
  <si>
    <t>MB 2026 targets</t>
  </si>
  <si>
    <t>Credit and deposit growth 30-35%, profit +15%, ROE above 20%, NPL below 1%, CASA about 36%</t>
  </si>
  <si>
    <t>MB loan to deposit ratio</t>
  </si>
  <si>
    <t>About 79%</t>
  </si>
  <si>
    <t>FiinRatings, press</t>
  </si>
  <si>
    <t>SMBC stake in VPBank</t>
  </si>
  <si>
    <t>15%, acquired for USD 1.5 billion</t>
  </si>
  <si>
    <t>Completed 2023</t>
  </si>
  <si>
    <t>VPBank, SMBC</t>
  </si>
  <si>
    <t>Techcombank retail credit</t>
  </si>
  <si>
    <t>VND 372.0 trillion, +30.8%</t>
  </si>
  <si>
    <t>Techcombank FY25 press release</t>
  </si>
  <si>
    <t>Techcombank corporate credit</t>
  </si>
  <si>
    <t>VND 452.1 trillion, +13.4%</t>
  </si>
  <si>
    <t>Techcombank customer deposits</t>
  </si>
  <si>
    <t>VND 665.6 trillion, CASA balance VND 268.7 trillion, CASA ratio 40.4%</t>
  </si>
  <si>
    <t>Techcombank profitability</t>
  </si>
  <si>
    <t>ROE 16.0% LTM, ROA 2.4%, CIR 30.8%, NIM 3.8% LTM, NPL 1.13%, CAR 14.6%</t>
  </si>
  <si>
    <t>Listed commercial banks</t>
  </si>
  <si>
    <t>27</t>
  </si>
  <si>
    <t>Vietnamese financial press</t>
  </si>
  <si>
    <t>SMBC Consumer Finance stake in FE Credit</t>
  </si>
  <si>
    <t>49%</t>
  </si>
  <si>
    <t>Cake by VPBank customers</t>
  </si>
  <si>
    <t>About 6.2 million in 2025; company claims over 7 million by 2026</t>
  </si>
  <si>
    <t>Company statements</t>
  </si>
  <si>
    <t>Cake profitability</t>
  </si>
  <si>
    <t>EBITDA-positive from Q3 2024. Company-reported, no audited standalone accounts</t>
  </si>
  <si>
    <t>Cake average revenue per user</t>
  </si>
  <si>
    <t>USD 25 in 2025, projected USD 44 in 2026. Company-reported, unaudited</t>
  </si>
  <si>
    <t>Payments</t>
  </si>
  <si>
    <t>Non-cash transactions</t>
  </si>
  <si>
    <t>Over 15 billion transactions, over VND 190 quadrillion, volume +34.28%, value +12.24%</t>
  </si>
  <si>
    <t>State Bank of Vietnam</t>
  </si>
  <si>
    <t>Non-cash payment value per day</t>
  </si>
  <si>
    <t>About VND 1.05 quadrillion, roughly USD 40 billion</t>
  </si>
  <si>
    <t>Volume +43.3%, value +24.2%</t>
  </si>
  <si>
    <t>9M 2025</t>
  </si>
  <si>
    <t>QR code payments</t>
  </si>
  <si>
    <t>Volume +61.6%, value +150.7%</t>
  </si>
  <si>
    <t>Internet banking</t>
  </si>
  <si>
    <t>Volume +51.2%, value +37.2%</t>
  </si>
  <si>
    <t>Mobile banking</t>
  </si>
  <si>
    <t>Volume +37.4%, value +21.8%</t>
  </si>
  <si>
    <t>ATM transactions</t>
  </si>
  <si>
    <t>Volume -16.77%, value -5.74%</t>
  </si>
  <si>
    <t>Mobile Money accounts</t>
  </si>
  <si>
    <t>10.89 million, 70% rural</t>
  </si>
  <si>
    <t>September 2025</t>
  </si>
  <si>
    <t>Individual payment accounts</t>
  </si>
  <si>
    <t>About 232 million, +14%</t>
  </si>
  <si>
    <t>Cards in circulation</t>
  </si>
  <si>
    <t>Over 164 million</t>
  </si>
  <si>
    <t>Payment account penetration, official</t>
  </si>
  <si>
    <t>Over 89% of people aged 15+</t>
  </si>
  <si>
    <t>Account ownership, survey measure</t>
  </si>
  <si>
    <t>70.6% of adults aged 15+</t>
  </si>
  <si>
    <t>Findex 2024 fieldwork</t>
  </si>
  <si>
    <t>World Bank Global Findex</t>
  </si>
  <si>
    <t>Biometric verification</t>
  </si>
  <si>
    <t>167.8 million individual customer records, 2.78 million institutional records. Counts records, not people</t>
  </si>
  <si>
    <t>31 July 2026</t>
  </si>
  <si>
    <t>SIMO fraud alerts</t>
  </si>
  <si>
    <t>4.6 million customers alerted, 1.5 million transactions abandoned, about VND 5.2 trillion prevented</t>
  </si>
  <si>
    <t>July 2026</t>
  </si>
  <si>
    <t>Fraud prevention</t>
  </si>
  <si>
    <t>440,000+ transactions flagged, VND 1.6tn prevented</t>
  </si>
  <si>
    <t>Licensed providers</t>
  </si>
  <si>
    <t>53 payment providers, 49 e-wallet operators</t>
  </si>
  <si>
    <t>Business</t>
  </si>
  <si>
    <t>Active economic establishments</t>
  </si>
  <si>
    <t>Nearly 6.3 million, employing over 30.37 million people</t>
  </si>
  <si>
    <t>2026 census</t>
  </si>
  <si>
    <t>Enterprises</t>
  </si>
  <si>
    <t>859,048</t>
  </si>
  <si>
    <t>Cooperatives</t>
  </si>
  <si>
    <t>17,145</t>
  </si>
  <si>
    <t>Individual business households</t>
  </si>
  <si>
    <t>5,254,952</t>
  </si>
  <si>
    <t>Enterprise growth versus 2020</t>
  </si>
  <si>
    <t>+25.5%</t>
  </si>
  <si>
    <t>FDI enterprises</t>
  </si>
  <si>
    <t>About 30,000, +34% versus 2020</t>
  </si>
  <si>
    <t>Workers in economic establishments</t>
  </si>
  <si>
    <t>Over 30.37 million</t>
  </si>
  <si>
    <t>Enterprise employment</t>
  </si>
  <si>
    <t>17.6 million, about 57.6% of workers in economic establishments, not of the 52.6 million national employed</t>
  </si>
  <si>
    <t>Micro enterprise credit access</t>
  </si>
  <si>
    <t>8.8%</t>
  </si>
  <si>
    <t>To July 2026</t>
  </si>
  <si>
    <t>FiinGroup</t>
  </si>
  <si>
    <t>Small and medium enterprise credit access</t>
  </si>
  <si>
    <t>30.9%</t>
  </si>
  <si>
    <t>All SMEs credit access</t>
  </si>
  <si>
    <t>20.5%</t>
  </si>
  <si>
    <t>Large enterprise credit access</t>
  </si>
  <si>
    <t>61.4%</t>
  </si>
  <si>
    <t>Preferential credit programme</t>
  </si>
  <si>
    <t>VND 408 trillion across 12 banks, for SMEs and other growth drivers, not SME-only</t>
  </si>
  <si>
    <t>24 August 2026</t>
  </si>
  <si>
    <t>Thoi bao Ngan hang, SBV directive 7 August 2026</t>
  </si>
  <si>
    <t>Big four share of SME commitment</t>
  </si>
  <si>
    <t>VND 220 trillion</t>
  </si>
  <si>
    <t>August 2026</t>
  </si>
  <si>
    <t>Press reporting</t>
  </si>
  <si>
    <t>Tax exemption threshold</t>
  </si>
  <si>
    <t>VND 500 million revenue</t>
  </si>
  <si>
    <t>From 2026</t>
  </si>
  <si>
    <t>Revised Personal Income Tax Law</t>
  </si>
  <si>
    <t>E-invoice threshold</t>
  </si>
  <si>
    <t>VND 1 billion revenue</t>
  </si>
  <si>
    <t>Decree 68/2026/ND-CP</t>
  </si>
  <si>
    <t>Net income method threshold</t>
  </si>
  <si>
    <t>VND 3 billion revenue</t>
  </si>
  <si>
    <t>Markets</t>
  </si>
  <si>
    <t>Investor accounts, all types</t>
  </si>
  <si>
    <t>11,871,933; domestic 11,821,745, foreign 50,188</t>
  </si>
  <si>
    <t>31 December 2025</t>
  </si>
  <si>
    <t>VSDC annual report 2025</t>
  </si>
  <si>
    <t>Investor trading accounts, all types</t>
  </si>
  <si>
    <t>13,887,603</t>
  </si>
  <si>
    <t>2026-09-24</t>
  </si>
  <si>
    <t>VSDC homepage counter, recorded by step 01d</t>
  </si>
  <si>
    <t>Net new accounts in 2026</t>
  </si>
  <si>
    <t>2,015,670</t>
  </si>
  <si>
    <t>1 January to 2026-09-24</t>
  </si>
  <si>
    <t>Derived: VSDC counter less the VSDC year-end 2025 total</t>
  </si>
  <si>
    <t>Domestic share of account growth</t>
  </si>
  <si>
    <t>99.9%</t>
  </si>
  <si>
    <t>Derived from VSDC annual reports 2024 and 2025</t>
  </si>
  <si>
    <t>Lending, all brokers with filings</t>
  </si>
  <si>
    <t>VND 321,727 billion (41 firms)</t>
  </si>
  <si>
    <t>31 March 2026</t>
  </si>
  <si>
    <t>Securities company filings, step 01c</t>
  </si>
  <si>
    <t>Lending to equity, all brokers with filings</t>
  </si>
  <si>
    <t>97%, ceiling 200%</t>
  </si>
  <si>
    <t>Brokerage share, VPS</t>
  </si>
  <si>
    <t>12.61%</t>
  </si>
  <si>
    <t>Q2 2026 HOSE</t>
  </si>
  <si>
    <t>HOSE announcement, api.hsx.vn</t>
  </si>
  <si>
    <t>Brokerage share, SSI</t>
  </si>
  <si>
    <t>11.17%</t>
  </si>
  <si>
    <t>Brokerage share, TCBS</t>
  </si>
  <si>
    <t>9.36%</t>
  </si>
  <si>
    <t>Brokerage share, VPS on HNX</t>
  </si>
  <si>
    <t>17.71%</t>
  </si>
  <si>
    <t>Q2 2026 HNX</t>
  </si>
  <si>
    <t>HNX announcement, hnx.vn</t>
  </si>
  <si>
    <t>Brokerage share, TCBS on HNX</t>
  </si>
  <si>
    <t>9.00%</t>
  </si>
  <si>
    <t>Derivatives share, VPS</t>
  </si>
  <si>
    <t>33.84%, first place</t>
  </si>
  <si>
    <t>DNSE derivatives share</t>
  </si>
  <si>
    <t>25.38%, second behind VPS</t>
  </si>
  <si>
    <t>25.47%, second place</t>
  </si>
  <si>
    <t>DNSE investor relations</t>
  </si>
  <si>
    <t>DNSE listed stock share on HNX</t>
  </si>
  <si>
    <t>2.88%, eighth</t>
  </si>
  <si>
    <t>DNSE operating revenue</t>
  </si>
  <si>
    <t>VND 453.1 billion, +56.1% y/y</t>
  </si>
  <si>
    <t>DNSE filed statements, step 01b</t>
  </si>
  <si>
    <t>VND 848.2 billion, +59.0% y/y</t>
  </si>
  <si>
    <t>DNSE reviewed half-year statements, step 01b</t>
  </si>
  <si>
    <t>DNSE pre-tax profit</t>
  </si>
  <si>
    <t>VND 97.4 billion, +7.0% y/y</t>
  </si>
  <si>
    <t>Reviewed half year less Q1, step 01b. The quarterly statement of 20 July gave 98.9</t>
  </si>
  <si>
    <t>TCBS assets under management</t>
  </si>
  <si>
    <t>VND 645 trillion</t>
  </si>
  <si>
    <t>Techcombank investor presentation</t>
  </si>
  <si>
    <t>FTSE Russell reclassification</t>
  </si>
  <si>
    <t>Frontier to Secondary Emerging, effective at the open on 21 September 2026</t>
  </si>
  <si>
    <t>LSEG, FTSE Russell</t>
  </si>
  <si>
    <t>Vietnamese stocks eligible for FTSE inclusion</t>
  </si>
  <si>
    <t>32 on the April 2026 indicative list (27 on the November 2025 list). Final list due 21 August 2026, not checked</t>
  </si>
  <si>
    <t>LSEG, FTSE Russell; The Investor, 8 April 2026</t>
  </si>
  <si>
    <t>FTSE-benchmarked assets</t>
  </si>
  <si>
    <t>About USD 18.1 trillion</t>
  </si>
  <si>
    <t>FTSE Russell</t>
  </si>
  <si>
    <t>Life new business premiums</t>
  </si>
  <si>
    <t>VND 23 trillion</t>
  </si>
  <si>
    <t>Milliman</t>
  </si>
  <si>
    <t>VND 50 trillion</t>
  </si>
  <si>
    <t>VND 34 trillion</t>
  </si>
  <si>
    <t>VND 25 trillion</t>
  </si>
  <si>
    <t>VND 24 trillion</t>
  </si>
  <si>
    <t>Bancassurance growth before the crisis</t>
  </si>
  <si>
    <t>53% CAGR</t>
  </si>
  <si>
    <t>To 2022</t>
  </si>
  <si>
    <t>Top seven market share</t>
  </si>
  <si>
    <t>75%, Bao Viet Life 21%</t>
  </si>
  <si>
    <t>First-year lapse rates</t>
  </si>
  <si>
    <t>Above 70% at some insurers</t>
  </si>
  <si>
    <t>Post-crisis</t>
  </si>
  <si>
    <t>Regulation</t>
  </si>
  <si>
    <t>Decree 94/2025/ND-CP</t>
  </si>
  <si>
    <t>Banking sandbox: P2P lending, open API, credit scoring</t>
  </si>
  <si>
    <t>From 1 July 2025</t>
  </si>
  <si>
    <t>Government of Vietnam</t>
  </si>
  <si>
    <t>Circular 64/2024/TT-NHNN</t>
  </si>
  <si>
    <t>Open API standards, compliance by 1 March 2027</t>
  </si>
  <si>
    <t>Resolution 202/2025/QH15</t>
  </si>
  <si>
    <t>Provinces reduced from 63 to 34, being 28 provinces and 6 centrally-run cities; districts abolished</t>
  </si>
  <si>
    <t>Passed 12 June 2025, effective 1 July 2025</t>
  </si>
  <si>
    <t>National Assembly</t>
  </si>
  <si>
    <t>Household business tax administration</t>
  </si>
  <si>
    <t>5 March 2026</t>
  </si>
  <si>
    <t>Lump-sum tax abolished</t>
  </si>
  <si>
    <t>Household businesses must self-declare</t>
  </si>
  <si>
    <t>From 1 January 2026</t>
  </si>
  <si>
    <t>Resolution 05/2025/NQ-CP</t>
  </si>
  <si>
    <t>Five-year crypto pilot, charter capital VND 10,000bn</t>
  </si>
  <si>
    <t>9 September 2025</t>
  </si>
  <si>
    <t>Circular 14/2025</t>
  </si>
  <si>
    <t>Basel III capital requirements</t>
  </si>
  <si>
    <t>Phasing in</t>
  </si>
  <si>
    <t>Where to get the rest of the data</t>
  </si>
  <si>
    <t>Checked in a browser on 20 September 2026. Notes record what was actually found, including where a site turned out to be thinner than expected.</t>
  </si>
  <si>
    <t>Covers</t>
  </si>
  <si>
    <t>Link</t>
  </si>
  <si>
    <t>Notes</t>
  </si>
  <si>
    <t>World Bank Microdata Library</t>
  </si>
  <si>
    <t>Findex respondent-level file</t>
  </si>
  <si>
    <t>microdata.worldbank.org/index.php/catalog/7998</t>
  </si>
  <si>
    <t>Verified: 1,000 cases, 199 variables, reference VNM_2024_FINDEX_v02_M. Free after accepting terms, no registration</t>
  </si>
  <si>
    <t>World Bank Open Data API</t>
  </si>
  <si>
    <t>Findex aggregates</t>
  </si>
  <si>
    <t>api.worldbank.org/v2/sources/28/country/VNM/series/all/data?format=json</t>
  </si>
  <si>
    <t>Verified: the source of this workbook. No key needed</t>
  </si>
  <si>
    <t>GDP, CPI, FDI, trade, provincial data, 2026 census</t>
  </si>
  <si>
    <t>nso.gov.vn</t>
  </si>
  <si>
    <t>English releases available. Provincial series break at 1 July 2025 because of the merger</t>
  </si>
  <si>
    <t>Payment statistics, credit data, circulars</t>
  </si>
  <si>
    <t>sbv.gov.vn</t>
  </si>
  <si>
    <t>Aggregate only. Good for payments and regulation</t>
  </si>
  <si>
    <t>Vietstock</t>
  </si>
  <si>
    <t>Listed company financials</t>
  </si>
  <si>
    <t>finance.vietstock.vn/TICKER/tai-chinh.htm</t>
  </si>
  <si>
    <t>Verified: swap the ticker to change company. History to 2011. Pre-computes NIM, cost of funds and yield on earning assets. Has a data export menu</t>
  </si>
  <si>
    <t>CafeF</t>
  </si>
  <si>
    <t>s.cafef.vn</t>
  </si>
  <si>
    <t>Alternative structure, useful as a cross-check against Vietstock</t>
  </si>
  <si>
    <t>VPBank investor relations</t>
  </si>
  <si>
    <t>VPB filings and investor decks</t>
  </si>
  <si>
    <t>vpbank.com.vn/en/quan-he-nha-dau-tu</t>
  </si>
  <si>
    <t>Verified: statements 2011 to 2026, VAS and IFRS, consolidated and separate, searchable PDFs. Quarterly Performance Packs carry segment detail</t>
  </si>
  <si>
    <t>DSE filings and market share</t>
  </si>
  <si>
    <t>ir.dnse.com.vn/vi/ctype-finance_report</t>
  </si>
  <si>
    <t>Verified: quarterly, half-year and annual statements 2019 to 2026, annual reports 2024 and 2025, earnings releases with market share. Statements are scanned PDFs without a text layer</t>
  </si>
  <si>
    <t>Vietcap IQ data service</t>
  </si>
  <si>
    <t>DSE statements, every line, Q1 2018 onwards; key lines of every securities company</t>
  </si>
  <si>
    <t>iq.vietcap.com.vn/api/iq-insight-service/v1/company/DSE/financial-statement</t>
  </si>
  <si>
    <t>Verified 2026-09-24: income statement, balance sheet, cash flow and notes on the securities-company template. Pulled by 01b (DNSE) and 01c (every securities company covered, 42 filing in Q2 2026, VPS as VCK included); H1 2026 matches DNSE's reviewed statement to the dong. Consolidated where a firm has subsidiaries</t>
  </si>
  <si>
    <t>DNSE annual report 2025</t>
  </si>
  <si>
    <t>Accounts, new-account share, active customers, assets under management</t>
  </si>
  <si>
    <t>cdn.dnse.com.vn/dnse-assets/CBTT/DSE - BCTN 2025.pdf</t>
  </si>
  <si>
    <t>Verified 24 September 2026: text PDF. Customer figures on pages 29 and 30</t>
  </si>
  <si>
    <t>DNSE 2026 AGM resolution and proposals</t>
  </si>
  <si>
    <t>2026 plan, bond programmes, fund management company, IFC company</t>
  </si>
  <si>
    <t>ir.dnse.com.vn/vi/ntag-dai-hoi-dong-co-dong-19</t>
  </si>
  <si>
    <t>Resolution 01/2026 (scanned) approves 22 articles; the proposals file has a text layer. No article covers a digital-asset stake or carbon credits</t>
  </si>
  <si>
    <t>Techcombank investor relations</t>
  </si>
  <si>
    <t>TCB investor presentation</t>
  </si>
  <si>
    <t>techcombank.com</t>
  </si>
  <si>
    <t>The most detailed investor deck in Vietnamese banking</t>
  </si>
  <si>
    <t>MB</t>
  </si>
  <si>
    <t>MBB filings</t>
  </si>
  <si>
    <t>mbbank.com.vn</t>
  </si>
  <si>
    <t>English investor pages were partly unavailable when checked. Use Vietstock and HOSE instead</t>
  </si>
  <si>
    <t>HOSE</t>
  </si>
  <si>
    <t>Quarterly brokerage market share</t>
  </si>
  <si>
    <t>api.hsx.vn/n/api/v1/1/news/newstype/-1/1</t>
  </si>
  <si>
    <t>Verified: the site renders with JavaScript but its news API returns each announcement, table in the summary HTML. Holds 2023 onwards plus Q4 2018 and Q1 2019. Read by 01d</t>
  </si>
  <si>
    <t>HNX</t>
  </si>
  <si>
    <t>Listed, UPCoM and derivatives brokerage market share</t>
  </si>
  <si>
    <t>hnx.vn/ModuleSearchALL/SearchDataHNX/SearchArticleByKey</t>
  </si>
  <si>
    <t>Verified: search endpoint returns every announcement from 2018; tables are HTML from 2025 and attached .doc or PDF files before. Read by 01d</t>
  </si>
  <si>
    <t>VSDC</t>
  </si>
  <si>
    <t>Securities account statistics</t>
  </si>
  <si>
    <t>vsd.vn; annual reports at vsdc.vn:9994/VSD_PORTAL</t>
  </si>
  <si>
    <t>Verified: year-end accounts 2018 to 2025 from the annual report PDFs, and the homepage account counter</t>
  </si>
  <si>
    <t>Vietcap price service</t>
  </si>
  <si>
    <t>Daily VN-Index, HNX-Index, UPCoM-Index, VN30 futures and DSE</t>
  </si>
  <si>
    <t>trading.vietcap.com.vn/api/chart/OHLCChart/gap-chart</t>
  </si>
  <si>
    <t>Verified: daily close, volume and value from 2018. Value switches from dong to VND million on 12 August 2025; futures value unusable before July 2024. Read by 01d</t>
  </si>
  <si>
    <t>World Bank WDI API</t>
  </si>
  <si>
    <t>Vietnam macro 2018 to 2025</t>
  </si>
  <si>
    <t>api.worldbank.org/v2/country/VNM/indicator/...?source=2</t>
  </si>
  <si>
    <t>Verified: fifteen indicators, no key needed. Read by 01d</t>
  </si>
  <si>
    <t>NAPAS</t>
  </si>
  <si>
    <t>Interbank switching, VietQR</t>
  </si>
  <si>
    <t>napas.com.vn</t>
  </si>
  <si>
    <t>Aggregate payment statistics</t>
  </si>
  <si>
    <t>FiinRatings and FiinGroup</t>
  </si>
  <si>
    <t>Banking and consumer finance research</t>
  </si>
  <si>
    <t>fiinratings.vn, fiingroup.vn</t>
  </si>
  <si>
    <t>Some reports free. Source of most banking metrics in this workbook</t>
  </si>
  <si>
    <t>Monthly macro commentary</t>
  </si>
  <si>
    <t>vof.vinacapital.com</t>
  </si>
  <si>
    <t>Free, current, well sourced</t>
  </si>
  <si>
    <t>Life insurance analysis</t>
  </si>
  <si>
    <t>milliman.com</t>
  </si>
  <si>
    <t>Source of the insurance premium series</t>
  </si>
  <si>
    <t>Google Play scraping</t>
  </si>
  <si>
    <t>App reviews</t>
  </si>
  <si>
    <t>google-play-scraper on npm or PyPI</t>
  </si>
  <si>
    <t>Thousands of dated, rated, versioned reviews per app. Genuinely messy, which suits the data-cleaning criterion</t>
  </si>
  <si>
    <t>App Store scraping</t>
  </si>
  <si>
    <t>app-store-scraper</t>
  </si>
  <si>
    <t>Same approach for 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</si>
</sst>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
    <numFmt numFmtId="165" formatCode="0.0;\(0.0\);\-"/>
    <numFmt numFmtId="166" formatCode="#,##0.0;\(#,##0.0\);\-"/>
    <numFmt numFmtId="167" formatCode="#,##0;\(#,##0\);\-"/>
    <numFmt numFmtId="168" formatCode="#,##0.0"/>
    <numFmt numFmtId="169" formatCode="0.00&quot;x&quot;"/>
    <numFmt numFmtId="170" formatCode="0.00;\(0.00\);\-"/>
    <numFmt numFmtId="171" formatCode="0.000"/>
  </numFmts>
  <fonts count="10" x14ac:knownFonts="1">
    <font>
      <sz val="11"/>
      <color theme="1"/>
      <name val="Arial"/>
      <family val="2"/>
      <scheme val="minor"/>
    </font>
    <font>
      <b/>
      <sz val="14"/>
      <color rgb="FF1F3864"/>
      <name val="Arial"/>
    </font>
    <font>
      <sz val="10"/>
      <color rgb="FF595959"/>
      <name val="Arial"/>
    </font>
    <font>
      <b/>
      <sz val="10"/>
      <name val="Arial"/>
    </font>
    <font>
      <sz val="10"/>
      <name val="Arial"/>
    </font>
    <font>
      <b/>
      <sz val="11"/>
      <color rgb="FF2E74B5"/>
      <name val="Arial"/>
    </font>
    <font>
      <sz val="9"/>
      <color rgb="FF595959"/>
      <name val="Arial"/>
    </font>
    <font>
      <b/>
      <sz val="10"/>
      <color rgb="FFFFFFFF"/>
      <name val="Arial"/>
    </font>
    <font>
      <sz val="10"/>
      <color rgb="FF0000FF"/>
      <name val="Arial"/>
    </font>
    <font>
      <sz val="10"/>
      <color rgb="FF008000"/>
      <name val="Arial"/>
    </font>
  </fonts>
  <fills count="6">
    <fill>
      <patternFill patternType="none"/>
    </fill>
    <fill>
      <patternFill patternType="gray125"/>
    </fill>
    <fill>
      <patternFill patternType="solid">
        <fgColor rgb="FF1F3864"/>
      </patternFill>
    </fill>
    <fill>
      <patternFill patternType="solid">
        <fgColor rgb="FFEDF2F8"/>
      </patternFill>
    </fill>
    <fill>
      <patternFill patternType="solid">
        <fgColor rgb="FFFBF0E4"/>
      </patternFill>
    </fill>
    <fill>
      <patternFill patternType="solid">
        <fgColor rgb="FFFFFF00"/>
      </patternFill>
    </fill>
  </fills>
  <borders count="4">
    <border>
      <left/>
      <right/>
      <top/>
      <bottom/>
      <diagonal/>
    </border>
    <border>
      <left style="thin">
        <color rgb="FFCFDAE8"/>
      </left>
      <right style="thin">
        <color rgb="FFCFDAE8"/>
      </right>
      <top style="thin">
        <color rgb="FFCFDAE8"/>
      </top>
      <bottom style="thin">
        <color rgb="FFCFDAE8"/>
      </bottom>
      <diagonal/>
    </border>
    <border>
      <left/>
      <right/>
      <top style="thin">
        <color rgb="FFCFDAE8"/>
      </top>
      <bottom style="thin">
        <color rgb="FFCFDAE8"/>
      </bottom>
      <diagonal/>
    </border>
    <border>
      <left/>
      <right style="thin">
        <color rgb="FFCFDAE8"/>
      </right>
      <top style="thin">
        <color rgb="FFCFDAE8"/>
      </top>
      <bottom style="thin">
        <color rgb="FFCFDAE8"/>
      </bottom>
      <diagonal/>
    </border>
  </borders>
  <cellStyleXfs count="1">
    <xf numFmtId="0" fontId="0" fillId="0" borderId="0"/>
  </cellStyleXfs>
  <cellXfs count="76">
    <xf numFmtId="0" fontId="0" fillId="0" borderId="0" xfId="0"/>
    <xf numFmtId="0" fontId="1" fillId="0" borderId="0" xfId="0" applyFont="1"/>
    <xf numFmtId="0" fontId="2" fillId="0" borderId="0" xfId="0" applyFont="1"/>
    <xf numFmtId="0" fontId="3" fillId="0" borderId="0" xfId="0" applyFont="1" applyAlignment="1">
      <alignment vertical="top"/>
    </xf>
    <xf numFmtId="0" fontId="4" fillId="0" borderId="0" xfId="0" applyFont="1" applyAlignment="1">
      <alignment vertical="top" wrapText="1"/>
    </xf>
    <xf numFmtId="0" fontId="5" fillId="0" borderId="0" xfId="0" applyFont="1"/>
    <xf numFmtId="0" fontId="3" fillId="0" borderId="0" xfId="0" applyFont="1"/>
    <xf numFmtId="0" fontId="4" fillId="0" borderId="0" xfId="0" applyFont="1"/>
    <xf numFmtId="0" fontId="6" fillId="0" borderId="0" xfId="0" applyFont="1"/>
    <xf numFmtId="0" fontId="7" fillId="2" borderId="1" xfId="0" applyFont="1" applyFill="1" applyBorder="1" applyAlignment="1">
      <alignment horizontal="left" vertical="center" wrapText="1"/>
    </xf>
    <xf numFmtId="0" fontId="7" fillId="2" borderId="1" xfId="0" applyFont="1" applyFill="1" applyBorder="1" applyAlignment="1">
      <alignment horizontal="center" vertical="center" wrapText="1"/>
    </xf>
    <xf numFmtId="0" fontId="3" fillId="0" borderId="1" xfId="0" applyFont="1" applyBorder="1"/>
    <xf numFmtId="166" fontId="8" fillId="0" borderId="1" xfId="0" applyNumberFormat="1" applyFont="1" applyBorder="1"/>
    <xf numFmtId="166" fontId="4" fillId="0" borderId="1" xfId="0" applyNumberFormat="1" applyFont="1" applyBorder="1"/>
    <xf numFmtId="165" fontId="4" fillId="0" borderId="1" xfId="0" applyNumberFormat="1" applyFont="1" applyBorder="1"/>
    <xf numFmtId="0" fontId="6" fillId="0" borderId="1" xfId="0" applyFont="1" applyBorder="1" applyAlignment="1">
      <alignment vertical="top" wrapText="1"/>
    </xf>
    <xf numFmtId="0" fontId="3" fillId="3" borderId="1" xfId="0" applyFont="1" applyFill="1" applyBorder="1"/>
    <xf numFmtId="166" fontId="8" fillId="3" borderId="1" xfId="0" applyNumberFormat="1" applyFont="1" applyFill="1" applyBorder="1"/>
    <xf numFmtId="166" fontId="4" fillId="3" borderId="1" xfId="0" applyNumberFormat="1" applyFont="1" applyFill="1" applyBorder="1"/>
    <xf numFmtId="165" fontId="4" fillId="3" borderId="1" xfId="0" applyNumberFormat="1" applyFont="1" applyFill="1" applyBorder="1"/>
    <xf numFmtId="0" fontId="6" fillId="3" borderId="1" xfId="0" applyFont="1" applyFill="1" applyBorder="1" applyAlignment="1">
      <alignment vertical="top" wrapText="1"/>
    </xf>
    <xf numFmtId="167" fontId="8" fillId="3" borderId="1" xfId="0" applyNumberFormat="1" applyFont="1" applyFill="1" applyBorder="1"/>
    <xf numFmtId="167" fontId="4" fillId="3" borderId="1" xfId="0" applyNumberFormat="1" applyFont="1" applyFill="1" applyBorder="1"/>
    <xf numFmtId="167" fontId="8" fillId="0" borderId="1" xfId="0" applyNumberFormat="1" applyFont="1" applyBorder="1"/>
    <xf numFmtId="167" fontId="4" fillId="0" borderId="1" xfId="0" applyNumberFormat="1" applyFont="1" applyBorder="1"/>
    <xf numFmtId="0" fontId="4" fillId="0" borderId="1" xfId="0" applyFont="1" applyBorder="1"/>
    <xf numFmtId="0" fontId="4" fillId="3" borderId="1" xfId="0" applyFont="1" applyFill="1" applyBorder="1"/>
    <xf numFmtId="3" fontId="4" fillId="3" borderId="1" xfId="0" applyNumberFormat="1" applyFont="1" applyFill="1" applyBorder="1"/>
    <xf numFmtId="3" fontId="4" fillId="0" borderId="1" xfId="0" applyNumberFormat="1" applyFont="1" applyBorder="1"/>
    <xf numFmtId="168" fontId="4" fillId="3" borderId="1" xfId="0" applyNumberFormat="1" applyFont="1" applyFill="1" applyBorder="1"/>
    <xf numFmtId="169" fontId="4" fillId="0" borderId="1" xfId="0" applyNumberFormat="1" applyFont="1" applyBorder="1"/>
    <xf numFmtId="170" fontId="8" fillId="0" borderId="1" xfId="0" applyNumberFormat="1" applyFont="1" applyBorder="1"/>
    <xf numFmtId="170" fontId="4" fillId="0" borderId="1" xfId="0" applyNumberFormat="1" applyFont="1" applyBorder="1"/>
    <xf numFmtId="170" fontId="8" fillId="3" borderId="1" xfId="0" applyNumberFormat="1" applyFont="1" applyFill="1" applyBorder="1"/>
    <xf numFmtId="170" fontId="4" fillId="3" borderId="1" xfId="0" applyNumberFormat="1" applyFont="1" applyFill="1" applyBorder="1"/>
    <xf numFmtId="0" fontId="6" fillId="3" borderId="1" xfId="0" applyFont="1" applyFill="1" applyBorder="1"/>
    <xf numFmtId="0" fontId="6" fillId="0" borderId="1" xfId="0" applyFont="1" applyBorder="1"/>
    <xf numFmtId="0" fontId="3" fillId="4" borderId="1" xfId="0" applyFont="1" applyFill="1" applyBorder="1"/>
    <xf numFmtId="167" fontId="8" fillId="4" borderId="1" xfId="0" applyNumberFormat="1" applyFont="1" applyFill="1" applyBorder="1"/>
    <xf numFmtId="0" fontId="4" fillId="4" borderId="1" xfId="0" applyFont="1" applyFill="1" applyBorder="1"/>
    <xf numFmtId="0" fontId="6" fillId="4" borderId="1" xfId="0" applyFont="1" applyFill="1" applyBorder="1" applyAlignment="1">
      <alignment vertical="top" wrapText="1"/>
    </xf>
    <xf numFmtId="166" fontId="9" fillId="0" borderId="1" xfId="0" applyNumberFormat="1" applyFont="1" applyBorder="1"/>
    <xf numFmtId="171" fontId="4" fillId="0" borderId="1" xfId="0" applyNumberFormat="1" applyFont="1" applyBorder="1"/>
    <xf numFmtId="4" fontId="8" fillId="3" borderId="1" xfId="0" applyNumberFormat="1" applyFont="1" applyFill="1" applyBorder="1"/>
    <xf numFmtId="165" fontId="8" fillId="0" borderId="1" xfId="0" applyNumberFormat="1" applyFont="1" applyBorder="1"/>
    <xf numFmtId="4" fontId="8" fillId="0" borderId="1" xfId="0" applyNumberFormat="1" applyFont="1" applyBorder="1"/>
    <xf numFmtId="2" fontId="8" fillId="0" borderId="1" xfId="0" applyNumberFormat="1" applyFont="1" applyBorder="1"/>
    <xf numFmtId="2" fontId="8" fillId="3" borderId="1" xfId="0" applyNumberFormat="1" applyFont="1" applyFill="1" applyBorder="1"/>
    <xf numFmtId="171" fontId="8" fillId="0" borderId="1" xfId="0" applyNumberFormat="1" applyFont="1" applyBorder="1"/>
    <xf numFmtId="171" fontId="8" fillId="3" borderId="1" xfId="0" applyNumberFormat="1" applyFont="1" applyFill="1" applyBorder="1"/>
    <xf numFmtId="167" fontId="3" fillId="0" borderId="1" xfId="0" applyNumberFormat="1" applyFont="1" applyBorder="1"/>
    <xf numFmtId="165" fontId="3" fillId="0" borderId="1" xfId="0" applyNumberFormat="1" applyFont="1" applyBorder="1"/>
    <xf numFmtId="165" fontId="8" fillId="3" borderId="1" xfId="0" applyNumberFormat="1" applyFont="1" applyFill="1" applyBorder="1"/>
    <xf numFmtId="1" fontId="4" fillId="0" borderId="1" xfId="0" applyNumberFormat="1" applyFont="1" applyBorder="1"/>
    <xf numFmtId="0" fontId="4" fillId="0" borderId="1" xfId="0" applyFont="1" applyBorder="1" applyAlignment="1">
      <alignment vertical="top" wrapText="1"/>
    </xf>
    <xf numFmtId="1" fontId="4" fillId="3" borderId="1" xfId="0" applyNumberFormat="1" applyFont="1" applyFill="1" applyBorder="1"/>
    <xf numFmtId="0" fontId="4" fillId="3" borderId="1" xfId="0" applyFont="1" applyFill="1" applyBorder="1" applyAlignment="1">
      <alignment vertical="top" wrapText="1"/>
    </xf>
    <xf numFmtId="0" fontId="3" fillId="5" borderId="1" xfId="0" applyFont="1" applyFill="1" applyBorder="1"/>
    <xf numFmtId="164" fontId="8" fillId="5" borderId="1" xfId="0" applyNumberFormat="1" applyFont="1" applyFill="1" applyBorder="1"/>
    <xf numFmtId="165" fontId="9" fillId="3" borderId="1" xfId="0" applyNumberFormat="1" applyFont="1" applyFill="1" applyBorder="1"/>
    <xf numFmtId="2" fontId="4" fillId="3" borderId="1" xfId="0" applyNumberFormat="1" applyFont="1" applyFill="1" applyBorder="1"/>
    <xf numFmtId="165" fontId="9" fillId="0" borderId="1" xfId="0" applyNumberFormat="1" applyFont="1" applyBorder="1"/>
    <xf numFmtId="2" fontId="4" fillId="0" borderId="1" xfId="0" applyNumberFormat="1" applyFont="1" applyBorder="1"/>
    <xf numFmtId="164" fontId="4" fillId="0" borderId="1" xfId="0" applyNumberFormat="1" applyFont="1" applyBorder="1"/>
    <xf numFmtId="164" fontId="4" fillId="3" borderId="1" xfId="0" applyNumberFormat="1" applyFont="1" applyFill="1" applyBorder="1"/>
    <xf numFmtId="0" fontId="7" fillId="2" borderId="1" xfId="0" applyFont="1" applyFill="1" applyBorder="1"/>
    <xf numFmtId="0" fontId="4" fillId="4" borderId="1" xfId="0" applyFont="1" applyFill="1" applyBorder="1" applyAlignment="1">
      <alignment vertical="top" wrapText="1"/>
    </xf>
    <xf numFmtId="0" fontId="4" fillId="0" borderId="0" xfId="0" applyFont="1" applyAlignment="1">
      <alignment vertical="top" wrapText="1"/>
    </xf>
    <xf numFmtId="0" fontId="0" fillId="0" borderId="0" xfId="0"/>
    <xf numFmtId="0" fontId="4" fillId="0" borderId="1" xfId="0" applyFont="1" applyBorder="1" applyAlignment="1">
      <alignment vertical="top" wrapText="1"/>
    </xf>
    <xf numFmtId="0" fontId="0" fillId="0" borderId="1" xfId="0" applyBorder="1"/>
    <xf numFmtId="0" fontId="4" fillId="3" borderId="1" xfId="0" applyFont="1" applyFill="1" applyBorder="1" applyAlignment="1">
      <alignment vertical="top" wrapText="1"/>
    </xf>
    <xf numFmtId="0" fontId="0" fillId="3" borderId="1" xfId="0" applyFill="1" applyBorder="1"/>
    <xf numFmtId="0" fontId="6" fillId="0" borderId="1" xfId="0" applyFont="1" applyBorder="1" applyAlignment="1">
      <alignment vertical="top" wrapText="1"/>
    </xf>
    <xf numFmtId="0" fontId="0" fillId="0" borderId="2" xfId="0" applyBorder="1"/>
    <xf numFmtId="0" fontId="0" fillId="0" borderId="3"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38"/>
  <sheetViews>
    <sheetView showGridLines="0" tabSelected="1" workbookViewId="0"/>
  </sheetViews>
  <sheetFormatPr defaultRowHeight="14" x14ac:dyDescent="0.3"/>
  <cols>
    <col min="1" max="1" width="3" customWidth="1"/>
    <col min="2" max="2" width="30" customWidth="1"/>
    <col min="3" max="3" width="95" customWidth="1"/>
  </cols>
  <sheetData>
    <row r="2" spans="2:3" ht="18" x14ac:dyDescent="0.4">
      <c r="B2" s="1" t="s">
        <v>0</v>
      </c>
    </row>
    <row r="3" spans="2:3" x14ac:dyDescent="0.3">
      <c r="B3" s="2" t="s">
        <v>1</v>
      </c>
    </row>
    <row r="5" spans="2:3" ht="56" customHeight="1" x14ac:dyDescent="0.3">
      <c r="B5" s="3" t="s">
        <v>2</v>
      </c>
      <c r="C5" s="4" t="s">
        <v>3</v>
      </c>
    </row>
    <row r="6" spans="2:3" ht="168" customHeight="1" x14ac:dyDescent="0.3">
      <c r="B6" s="3" t="s">
        <v>4</v>
      </c>
      <c r="C6" s="4" t="s">
        <v>5</v>
      </c>
    </row>
    <row r="7" spans="2:3" ht="42" customHeight="1" x14ac:dyDescent="0.3">
      <c r="B7" s="3" t="s">
        <v>6</v>
      </c>
      <c r="C7" s="4" t="s">
        <v>7</v>
      </c>
    </row>
    <row r="8" spans="2:3" ht="56" customHeight="1" x14ac:dyDescent="0.3">
      <c r="B8" s="3" t="s">
        <v>8</v>
      </c>
      <c r="C8" s="4" t="s">
        <v>9</v>
      </c>
    </row>
    <row r="9" spans="2:3" ht="56" customHeight="1" x14ac:dyDescent="0.3">
      <c r="B9" s="3" t="s">
        <v>10</v>
      </c>
      <c r="C9" s="4" t="s">
        <v>11</v>
      </c>
    </row>
    <row r="10" spans="2:3" ht="42" customHeight="1" x14ac:dyDescent="0.3">
      <c r="B10" s="3" t="s">
        <v>12</v>
      </c>
      <c r="C10" s="4" t="s">
        <v>13</v>
      </c>
    </row>
    <row r="11" spans="2:3" ht="42" customHeight="1" x14ac:dyDescent="0.3">
      <c r="B11" s="3" t="s">
        <v>14</v>
      </c>
      <c r="C11" s="4" t="s">
        <v>15</v>
      </c>
    </row>
    <row r="12" spans="2:3" ht="42" customHeight="1" x14ac:dyDescent="0.3">
      <c r="B12" s="3" t="s">
        <v>16</v>
      </c>
      <c r="C12" s="4" t="s">
        <v>17</v>
      </c>
    </row>
    <row r="13" spans="2:3" ht="28" customHeight="1" x14ac:dyDescent="0.3">
      <c r="B13" s="3" t="s">
        <v>18</v>
      </c>
      <c r="C13" s="4" t="s">
        <v>19</v>
      </c>
    </row>
    <row r="14" spans="2:3" ht="98" customHeight="1" x14ac:dyDescent="0.3">
      <c r="B14" s="3" t="s">
        <v>20</v>
      </c>
      <c r="C14" s="4" t="s">
        <v>21</v>
      </c>
    </row>
    <row r="15" spans="2:3" ht="56" customHeight="1" x14ac:dyDescent="0.3">
      <c r="B15" s="3" t="s">
        <v>22</v>
      </c>
      <c r="C15" s="4" t="s">
        <v>23</v>
      </c>
    </row>
    <row r="16" spans="2:3" ht="28" customHeight="1" x14ac:dyDescent="0.3">
      <c r="B16" s="3" t="s">
        <v>24</v>
      </c>
      <c r="C16" s="4" t="s">
        <v>25</v>
      </c>
    </row>
    <row r="18" spans="2:3" x14ac:dyDescent="0.3">
      <c r="B18" s="5" t="s">
        <v>26</v>
      </c>
    </row>
    <row r="19" spans="2:3" x14ac:dyDescent="0.3">
      <c r="B19" s="6" t="s">
        <v>27</v>
      </c>
      <c r="C19" s="7" t="s">
        <v>28</v>
      </c>
    </row>
    <row r="20" spans="2:3" x14ac:dyDescent="0.3">
      <c r="B20" s="6" t="s">
        <v>29</v>
      </c>
      <c r="C20" s="7" t="s">
        <v>30</v>
      </c>
    </row>
    <row r="21" spans="2:3" x14ac:dyDescent="0.3">
      <c r="B21" s="6" t="s">
        <v>31</v>
      </c>
      <c r="C21" s="7" t="s">
        <v>32</v>
      </c>
    </row>
    <row r="22" spans="2:3" x14ac:dyDescent="0.3">
      <c r="B22" s="6" t="s">
        <v>33</v>
      </c>
      <c r="C22" s="7" t="s">
        <v>34</v>
      </c>
    </row>
    <row r="23" spans="2:3" x14ac:dyDescent="0.3">
      <c r="B23" s="6" t="s">
        <v>35</v>
      </c>
      <c r="C23" s="7" t="s">
        <v>36</v>
      </c>
    </row>
    <row r="24" spans="2:3" x14ac:dyDescent="0.3">
      <c r="B24" s="6" t="s">
        <v>37</v>
      </c>
      <c r="C24" s="7" t="s">
        <v>38</v>
      </c>
    </row>
    <row r="25" spans="2:3" x14ac:dyDescent="0.3">
      <c r="B25" s="6" t="s">
        <v>39</v>
      </c>
      <c r="C25" s="7" t="s">
        <v>40</v>
      </c>
    </row>
    <row r="26" spans="2:3" x14ac:dyDescent="0.3">
      <c r="B26" s="6" t="s">
        <v>41</v>
      </c>
      <c r="C26" s="7" t="s">
        <v>42</v>
      </c>
    </row>
    <row r="27" spans="2:3" x14ac:dyDescent="0.3">
      <c r="B27" s="6" t="s">
        <v>43</v>
      </c>
      <c r="C27" s="7" t="s">
        <v>44</v>
      </c>
    </row>
    <row r="28" spans="2:3" x14ac:dyDescent="0.3">
      <c r="B28" s="6" t="s">
        <v>45</v>
      </c>
      <c r="C28" s="7" t="s">
        <v>46</v>
      </c>
    </row>
    <row r="29" spans="2:3" x14ac:dyDescent="0.3">
      <c r="B29" s="6" t="s">
        <v>47</v>
      </c>
      <c r="C29" s="7" t="s">
        <v>48</v>
      </c>
    </row>
    <row r="30" spans="2:3" x14ac:dyDescent="0.3">
      <c r="B30" s="6" t="s">
        <v>49</v>
      </c>
      <c r="C30" s="7" t="s">
        <v>50</v>
      </c>
    </row>
    <row r="31" spans="2:3" x14ac:dyDescent="0.3">
      <c r="B31" s="6" t="s">
        <v>51</v>
      </c>
      <c r="C31" s="7" t="s">
        <v>52</v>
      </c>
    </row>
    <row r="32" spans="2:3" x14ac:dyDescent="0.3">
      <c r="B32" s="6" t="s">
        <v>53</v>
      </c>
      <c r="C32" s="7" t="s">
        <v>54</v>
      </c>
    </row>
    <row r="33" spans="2:3" x14ac:dyDescent="0.3">
      <c r="B33" s="6" t="s">
        <v>55</v>
      </c>
      <c r="C33" s="7" t="s">
        <v>56</v>
      </c>
    </row>
    <row r="34" spans="2:3" x14ac:dyDescent="0.3">
      <c r="B34" s="6" t="s">
        <v>57</v>
      </c>
      <c r="C34" s="7" t="s">
        <v>58</v>
      </c>
    </row>
    <row r="35" spans="2:3" x14ac:dyDescent="0.3">
      <c r="B35" s="6" t="s">
        <v>59</v>
      </c>
      <c r="C35" s="7" t="s">
        <v>60</v>
      </c>
    </row>
    <row r="37" spans="2:3" x14ac:dyDescent="0.3">
      <c r="B37" s="5" t="s">
        <v>61</v>
      </c>
    </row>
    <row r="38" spans="2:3" ht="42" customHeight="1" x14ac:dyDescent="0.3">
      <c r="C38" s="4" t="s">
        <v>62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80"/>
  <sheetViews>
    <sheetView showGridLines="0" workbookViewId="0">
      <pane xSplit="1" ySplit="4" topLeftCell="B5" activePane="bottomRight" state="frozen"/>
      <selection pane="topRight"/>
      <selection pane="bottomLeft"/>
      <selection pane="bottomRight"/>
    </sheetView>
  </sheetViews>
  <sheetFormatPr defaultRowHeight="14" x14ac:dyDescent="0.3"/>
  <cols>
    <col min="1" max="1" width="46" customWidth="1"/>
    <col min="2" max="6" width="15" customWidth="1"/>
    <col min="7" max="7" width="52" customWidth="1"/>
    <col min="8" max="9" width="15" customWidth="1"/>
  </cols>
  <sheetData>
    <row r="1" spans="1:7" ht="18" x14ac:dyDescent="0.4">
      <c r="A1" s="1" t="s">
        <v>63</v>
      </c>
    </row>
    <row r="2" spans="1:7" x14ac:dyDescent="0.3">
      <c r="A2" s="8" t="s">
        <v>64</v>
      </c>
    </row>
    <row r="4" spans="1:7" ht="30" customHeight="1" x14ac:dyDescent="0.3">
      <c r="A4" s="9" t="s">
        <v>65</v>
      </c>
      <c r="B4" s="10" t="s">
        <v>66</v>
      </c>
      <c r="C4" s="10" t="s">
        <v>67</v>
      </c>
      <c r="D4" s="10" t="s">
        <v>68</v>
      </c>
      <c r="E4" s="10" t="s">
        <v>69</v>
      </c>
      <c r="F4" s="10" t="s">
        <v>70</v>
      </c>
      <c r="G4" s="10" t="s">
        <v>71</v>
      </c>
    </row>
    <row r="5" spans="1:7" x14ac:dyDescent="0.3">
      <c r="A5" s="11" t="s">
        <v>72</v>
      </c>
      <c r="B5" s="12">
        <v>1457.912</v>
      </c>
      <c r="C5" s="12">
        <v>395.14299999999997</v>
      </c>
      <c r="D5" s="12">
        <v>453.08600000000001</v>
      </c>
      <c r="E5" s="13">
        <f t="shared" ref="E5:E19" si="0">C5+D5</f>
        <v>848.22900000000004</v>
      </c>
      <c r="F5" s="14">
        <f t="shared" ref="F5:F19" si="1">IF(B5=0,"",E5/B5*100)</f>
        <v>58.181083631933895</v>
      </c>
      <c r="G5" s="15"/>
    </row>
    <row r="6" spans="1:7" x14ac:dyDescent="0.3">
      <c r="A6" s="16" t="s">
        <v>73</v>
      </c>
      <c r="B6" s="17">
        <v>555.79700000000003</v>
      </c>
      <c r="C6" s="17">
        <v>147.47499999999999</v>
      </c>
      <c r="D6" s="17">
        <v>188.602</v>
      </c>
      <c r="E6" s="18">
        <f t="shared" si="0"/>
        <v>336.077</v>
      </c>
      <c r="F6" s="19">
        <f t="shared" si="1"/>
        <v>60.467580789388933</v>
      </c>
      <c r="G6" s="20"/>
    </row>
    <row r="7" spans="1:7" x14ac:dyDescent="0.3">
      <c r="A7" s="11" t="s">
        <v>74</v>
      </c>
      <c r="B7" s="12">
        <v>404.02</v>
      </c>
      <c r="C7" s="12">
        <v>119.524</v>
      </c>
      <c r="D7" s="12">
        <v>102.535</v>
      </c>
      <c r="E7" s="13">
        <f t="shared" si="0"/>
        <v>222.059</v>
      </c>
      <c r="F7" s="14">
        <f t="shared" si="1"/>
        <v>54.962378100094057</v>
      </c>
      <c r="G7" s="15" t="s">
        <v>75</v>
      </c>
    </row>
    <row r="8" spans="1:7" x14ac:dyDescent="0.3">
      <c r="A8" s="16" t="s">
        <v>76</v>
      </c>
      <c r="B8" s="17">
        <v>303.91000000000003</v>
      </c>
      <c r="C8" s="17">
        <v>98.396000000000001</v>
      </c>
      <c r="D8" s="17">
        <v>95.043000000000006</v>
      </c>
      <c r="E8" s="18">
        <f t="shared" si="0"/>
        <v>193.43900000000002</v>
      </c>
      <c r="F8" s="19">
        <f t="shared" si="1"/>
        <v>63.650093777763153</v>
      </c>
      <c r="G8" s="20"/>
    </row>
    <row r="9" spans="1:7" x14ac:dyDescent="0.3">
      <c r="A9" s="11" t="s">
        <v>77</v>
      </c>
      <c r="B9" s="12">
        <v>171.39</v>
      </c>
      <c r="C9" s="12">
        <v>23.463999999999999</v>
      </c>
      <c r="D9" s="12">
        <v>53.76</v>
      </c>
      <c r="E9" s="13">
        <f t="shared" si="0"/>
        <v>77.22399999999999</v>
      </c>
      <c r="F9" s="14">
        <f t="shared" si="1"/>
        <v>45.057471264367813</v>
      </c>
      <c r="G9" s="15" t="s">
        <v>78</v>
      </c>
    </row>
    <row r="10" spans="1:7" ht="23" x14ac:dyDescent="0.3">
      <c r="A10" s="16" t="s">
        <v>79</v>
      </c>
      <c r="B10" s="18">
        <f>B5-SUM(B6:B9)</f>
        <v>22.794999999999845</v>
      </c>
      <c r="C10" s="18">
        <f>C5-SUM(C6:C9)</f>
        <v>6.283999999999935</v>
      </c>
      <c r="D10" s="18">
        <f>D5-SUM(D6:D9)</f>
        <v>13.146000000000015</v>
      </c>
      <c r="E10" s="18">
        <f t="shared" si="0"/>
        <v>19.42999999999995</v>
      </c>
      <c r="F10" s="19">
        <f t="shared" si="1"/>
        <v>85.237990787453739</v>
      </c>
      <c r="G10" s="20" t="s">
        <v>80</v>
      </c>
    </row>
    <row r="11" spans="1:7" x14ac:dyDescent="0.3">
      <c r="A11" s="11" t="s">
        <v>81</v>
      </c>
      <c r="B11" s="12">
        <v>7.532</v>
      </c>
      <c r="C11" s="12">
        <v>2.2730000000000001</v>
      </c>
      <c r="D11" s="12">
        <v>2.004</v>
      </c>
      <c r="E11" s="13">
        <f t="shared" si="0"/>
        <v>4.2770000000000001</v>
      </c>
      <c r="F11" s="14">
        <f t="shared" si="1"/>
        <v>56.784386617100367</v>
      </c>
      <c r="G11" s="15" t="s">
        <v>82</v>
      </c>
    </row>
    <row r="12" spans="1:7" ht="23" x14ac:dyDescent="0.3">
      <c r="A12" s="16" t="s">
        <v>83</v>
      </c>
      <c r="B12" s="18">
        <f>B5+B11</f>
        <v>1465.444</v>
      </c>
      <c r="C12" s="18">
        <f>C5+C11</f>
        <v>397.416</v>
      </c>
      <c r="D12" s="18">
        <f>D5+D11</f>
        <v>455.09000000000003</v>
      </c>
      <c r="E12" s="18">
        <f t="shared" si="0"/>
        <v>852.50600000000009</v>
      </c>
      <c r="F12" s="19">
        <f t="shared" si="1"/>
        <v>58.173904973509735</v>
      </c>
      <c r="G12" s="20" t="s">
        <v>84</v>
      </c>
    </row>
    <row r="13" spans="1:7" x14ac:dyDescent="0.3">
      <c r="A13" s="11" t="s">
        <v>85</v>
      </c>
      <c r="B13" s="12">
        <v>-464.85599999999999</v>
      </c>
      <c r="C13" s="12">
        <v>-137.816</v>
      </c>
      <c r="D13" s="12">
        <v>-128.702</v>
      </c>
      <c r="E13" s="13">
        <f t="shared" si="0"/>
        <v>-266.51800000000003</v>
      </c>
      <c r="F13" s="14">
        <f t="shared" si="1"/>
        <v>57.333453800746902</v>
      </c>
      <c r="G13" s="15" t="s">
        <v>86</v>
      </c>
    </row>
    <row r="14" spans="1:7" x14ac:dyDescent="0.3">
      <c r="A14" s="16" t="s">
        <v>87</v>
      </c>
      <c r="B14" s="17">
        <v>-25.209</v>
      </c>
      <c r="C14" s="17">
        <v>-33.075000000000003</v>
      </c>
      <c r="D14" s="17">
        <v>-10.284000000000001</v>
      </c>
      <c r="E14" s="18">
        <f t="shared" si="0"/>
        <v>-43.359000000000002</v>
      </c>
      <c r="F14" s="19">
        <f t="shared" si="1"/>
        <v>171.99809591812451</v>
      </c>
      <c r="G14" s="20"/>
    </row>
    <row r="15" spans="1:7" ht="34.5" x14ac:dyDescent="0.3">
      <c r="A15" s="11" t="s">
        <v>88</v>
      </c>
      <c r="B15" s="12">
        <v>-362.988</v>
      </c>
      <c r="C15" s="12">
        <v>-122.82</v>
      </c>
      <c r="D15" s="12">
        <v>-126.10599999999999</v>
      </c>
      <c r="E15" s="13">
        <f t="shared" si="0"/>
        <v>-248.92599999999999</v>
      </c>
      <c r="F15" s="14">
        <f t="shared" si="1"/>
        <v>68.576922653090449</v>
      </c>
      <c r="G15" s="15" t="s">
        <v>89</v>
      </c>
    </row>
    <row r="16" spans="1:7" x14ac:dyDescent="0.3">
      <c r="A16" s="16" t="s">
        <v>90</v>
      </c>
      <c r="B16" s="17">
        <v>-66.826999999999998</v>
      </c>
      <c r="C16" s="17">
        <v>-37.747</v>
      </c>
      <c r="D16" s="17">
        <v>-37.463999999999999</v>
      </c>
      <c r="E16" s="18">
        <f t="shared" si="0"/>
        <v>-75.210999999999999</v>
      </c>
      <c r="F16" s="19">
        <f t="shared" si="1"/>
        <v>112.54582728537868</v>
      </c>
      <c r="G16" s="20"/>
    </row>
    <row r="17" spans="1:7" x14ac:dyDescent="0.3">
      <c r="A17" s="11" t="s">
        <v>91</v>
      </c>
      <c r="B17" s="12">
        <v>-181.404</v>
      </c>
      <c r="C17" s="12">
        <v>-46.085999999999999</v>
      </c>
      <c r="D17" s="12">
        <v>-49.345999999999997</v>
      </c>
      <c r="E17" s="13">
        <f t="shared" si="0"/>
        <v>-95.431999999999988</v>
      </c>
      <c r="F17" s="14">
        <f t="shared" si="1"/>
        <v>52.607439747745353</v>
      </c>
      <c r="G17" s="15"/>
    </row>
    <row r="18" spans="1:7" ht="34.5" x14ac:dyDescent="0.3">
      <c r="A18" s="16" t="s">
        <v>92</v>
      </c>
      <c r="B18" s="17">
        <v>340.22500000000002</v>
      </c>
      <c r="C18" s="17">
        <v>14.170999999999999</v>
      </c>
      <c r="D18" s="17">
        <v>97.436000000000007</v>
      </c>
      <c r="E18" s="18">
        <f t="shared" si="0"/>
        <v>111.607</v>
      </c>
      <c r="F18" s="19">
        <f t="shared" si="1"/>
        <v>32.803879785436109</v>
      </c>
      <c r="G18" s="20" t="s">
        <v>93</v>
      </c>
    </row>
    <row r="19" spans="1:7" x14ac:dyDescent="0.3">
      <c r="A19" s="11" t="s">
        <v>94</v>
      </c>
      <c r="B19" s="12">
        <v>272.52999999999997</v>
      </c>
      <c r="C19" s="12">
        <v>11.327</v>
      </c>
      <c r="D19" s="12">
        <v>81.801000000000002</v>
      </c>
      <c r="E19" s="13">
        <f t="shared" si="0"/>
        <v>93.128</v>
      </c>
      <c r="F19" s="14">
        <f t="shared" si="1"/>
        <v>34.17165082743184</v>
      </c>
      <c r="G19" s="15"/>
    </row>
    <row r="20" spans="1:7" ht="23" x14ac:dyDescent="0.3">
      <c r="A20" s="16" t="s">
        <v>95</v>
      </c>
      <c r="B20" s="21">
        <v>5832.1909999999998</v>
      </c>
      <c r="C20" s="21">
        <v>5909.5479999999998</v>
      </c>
      <c r="D20" s="21">
        <v>6303.0649999999996</v>
      </c>
      <c r="E20" s="22">
        <f t="shared" ref="E20:E25" si="2">D20</f>
        <v>6303.0649999999996</v>
      </c>
      <c r="F20" s="19"/>
      <c r="G20" s="20" t="s">
        <v>96</v>
      </c>
    </row>
    <row r="21" spans="1:7" x14ac:dyDescent="0.3">
      <c r="A21" s="11" t="s">
        <v>97</v>
      </c>
      <c r="B21" s="12">
        <v>-54.119</v>
      </c>
      <c r="C21" s="12">
        <v>-57.35</v>
      </c>
      <c r="D21" s="12">
        <v>-63.082999999999998</v>
      </c>
      <c r="E21" s="13">
        <f t="shared" si="2"/>
        <v>-63.082999999999998</v>
      </c>
      <c r="F21" s="14"/>
      <c r="G21" s="15" t="s">
        <v>98</v>
      </c>
    </row>
    <row r="22" spans="1:7" x14ac:dyDescent="0.3">
      <c r="A22" s="16" t="s">
        <v>99</v>
      </c>
      <c r="B22" s="21">
        <v>4302.33</v>
      </c>
      <c r="C22" s="21">
        <v>5358.4459999999999</v>
      </c>
      <c r="D22" s="21">
        <v>5440.2460000000001</v>
      </c>
      <c r="E22" s="22">
        <f t="shared" si="2"/>
        <v>5440.2460000000001</v>
      </c>
      <c r="F22" s="19"/>
      <c r="G22" s="20"/>
    </row>
    <row r="23" spans="1:7" x14ac:dyDescent="0.3">
      <c r="A23" s="11" t="s">
        <v>100</v>
      </c>
      <c r="B23" s="23">
        <v>10600.025</v>
      </c>
      <c r="C23" s="23">
        <v>9976.4</v>
      </c>
      <c r="D23" s="23">
        <v>9446.1640000000007</v>
      </c>
      <c r="E23" s="24">
        <f t="shared" si="2"/>
        <v>9446.1640000000007</v>
      </c>
      <c r="F23" s="14"/>
      <c r="G23" s="15" t="s">
        <v>101</v>
      </c>
    </row>
    <row r="24" spans="1:7" x14ac:dyDescent="0.3">
      <c r="A24" s="16" t="s">
        <v>102</v>
      </c>
      <c r="B24" s="21">
        <v>2902.9609999999998</v>
      </c>
      <c r="C24" s="21">
        <v>2868.8690000000001</v>
      </c>
      <c r="D24" s="21">
        <v>1960.82</v>
      </c>
      <c r="E24" s="22">
        <f t="shared" si="2"/>
        <v>1960.82</v>
      </c>
      <c r="F24" s="19"/>
      <c r="G24" s="20" t="s">
        <v>103</v>
      </c>
    </row>
    <row r="25" spans="1:7" ht="23" x14ac:dyDescent="0.3">
      <c r="A25" s="11" t="s">
        <v>104</v>
      </c>
      <c r="B25" s="23">
        <v>18471.405999999999</v>
      </c>
      <c r="C25" s="23">
        <v>21885.34</v>
      </c>
      <c r="D25" s="23">
        <v>23231.235000000001</v>
      </c>
      <c r="E25" s="24">
        <f t="shared" si="2"/>
        <v>23231.235000000001</v>
      </c>
      <c r="F25" s="14"/>
      <c r="G25" s="15" t="s">
        <v>105</v>
      </c>
    </row>
    <row r="27" spans="1:7" x14ac:dyDescent="0.3">
      <c r="A27" s="5" t="s">
        <v>106</v>
      </c>
    </row>
    <row r="28" spans="1:7" ht="30" customHeight="1" x14ac:dyDescent="0.3">
      <c r="A28" s="9" t="s">
        <v>107</v>
      </c>
      <c r="B28" s="10" t="s">
        <v>66</v>
      </c>
      <c r="C28" s="10" t="s">
        <v>67</v>
      </c>
      <c r="D28" s="10" t="s">
        <v>68</v>
      </c>
      <c r="E28" s="10" t="s">
        <v>69</v>
      </c>
      <c r="F28" s="10"/>
      <c r="G28" s="10" t="s">
        <v>71</v>
      </c>
    </row>
    <row r="29" spans="1:7" x14ac:dyDescent="0.3">
      <c r="A29" s="11" t="s">
        <v>108</v>
      </c>
      <c r="B29" s="14">
        <f>B18/B5*100</f>
        <v>23.336456521381262</v>
      </c>
      <c r="C29" s="14">
        <f>C18/C5*100</f>
        <v>3.5862966065449724</v>
      </c>
      <c r="D29" s="14">
        <f>D18/D5*100</f>
        <v>21.504968151741615</v>
      </c>
      <c r="E29" s="14">
        <f>E18/E5*100</f>
        <v>13.157649644140909</v>
      </c>
      <c r="G29" s="15" t="s">
        <v>109</v>
      </c>
    </row>
    <row r="30" spans="1:7" x14ac:dyDescent="0.3">
      <c r="A30" s="25" t="s">
        <v>110</v>
      </c>
      <c r="B30" s="14">
        <f>B6/B5*100</f>
        <v>38.122808509704292</v>
      </c>
      <c r="C30" s="14">
        <f>C6/C5*100</f>
        <v>37.321931553893151</v>
      </c>
      <c r="D30" s="14">
        <f>D6/D5*100</f>
        <v>41.626093059595746</v>
      </c>
      <c r="E30" s="14">
        <f>E6/E5*100</f>
        <v>39.621022153215698</v>
      </c>
    </row>
    <row r="31" spans="1:7" x14ac:dyDescent="0.3">
      <c r="A31" s="25" t="s">
        <v>111</v>
      </c>
      <c r="B31" s="14">
        <f>B7/B5*100</f>
        <v>27.712235032018391</v>
      </c>
      <c r="C31" s="14">
        <f>C7/C5*100</f>
        <v>30.248289859620442</v>
      </c>
      <c r="D31" s="14">
        <f>D7/D5*100</f>
        <v>22.630361564912622</v>
      </c>
      <c r="E31" s="14">
        <f>E7/E5*100</f>
        <v>26.179133229351976</v>
      </c>
    </row>
    <row r="32" spans="1:7" x14ac:dyDescent="0.3">
      <c r="A32" s="25" t="s">
        <v>112</v>
      </c>
      <c r="B32" s="14">
        <f>B8/B5*100</f>
        <v>20.845565438791919</v>
      </c>
      <c r="C32" s="14">
        <f>C8/C5*100</f>
        <v>24.901364822355454</v>
      </c>
      <c r="D32" s="14">
        <f>D8/D5*100</f>
        <v>20.976812349090459</v>
      </c>
      <c r="E32" s="14">
        <f>E8/E5*100</f>
        <v>22.805044392493066</v>
      </c>
    </row>
    <row r="33" spans="1:7" x14ac:dyDescent="0.3">
      <c r="A33" s="25" t="s">
        <v>113</v>
      </c>
      <c r="B33" s="14">
        <f>B9/B5*100</f>
        <v>11.755853576896271</v>
      </c>
      <c r="C33" s="14">
        <f>C9/C5*100</f>
        <v>5.9381034207869048</v>
      </c>
      <c r="D33" s="14">
        <f>D9/D5*100</f>
        <v>11.865297095915565</v>
      </c>
      <c r="E33" s="14">
        <f>E9/E5*100</f>
        <v>9.1041452249333599</v>
      </c>
    </row>
    <row r="34" spans="1:7" ht="23" x14ac:dyDescent="0.3">
      <c r="A34" s="11" t="s">
        <v>114</v>
      </c>
      <c r="B34" s="14">
        <f>(B6+B8+B9)/B5*100</f>
        <v>70.724227525392493</v>
      </c>
      <c r="C34" s="14">
        <f>(C6+C8+C9)/C5*100</f>
        <v>68.1613997970355</v>
      </c>
      <c r="D34" s="14">
        <f>(D6+D8+D9)/D5*100</f>
        <v>74.468202504601763</v>
      </c>
      <c r="E34" s="14">
        <f>(E6+E8+E9)/E5*100</f>
        <v>71.530211770642126</v>
      </c>
      <c r="G34" s="15" t="s">
        <v>115</v>
      </c>
    </row>
    <row r="35" spans="1:7" x14ac:dyDescent="0.3">
      <c r="A35" s="11" t="s">
        <v>116</v>
      </c>
      <c r="B35" s="13">
        <f>B7+B13</f>
        <v>-60.836000000000013</v>
      </c>
      <c r="C35" s="13">
        <f>C7+C13</f>
        <v>-18.292000000000002</v>
      </c>
      <c r="D35" s="13">
        <f>D7+D13</f>
        <v>-26.167000000000002</v>
      </c>
      <c r="E35" s="13">
        <f>E7+E13</f>
        <v>-44.459000000000032</v>
      </c>
      <c r="G35" s="15" t="s">
        <v>117</v>
      </c>
    </row>
    <row r="36" spans="1:7" x14ac:dyDescent="0.3">
      <c r="A36" s="11" t="s">
        <v>118</v>
      </c>
      <c r="B36" s="14">
        <f>B20/B22*100</f>
        <v>135.5588948314053</v>
      </c>
      <c r="C36" s="14">
        <f>C20/C22*100</f>
        <v>110.28473553713147</v>
      </c>
      <c r="D36" s="14">
        <f>D20/D22*100</f>
        <v>115.85992618716139</v>
      </c>
      <c r="E36" s="14">
        <f>E20/E22*100</f>
        <v>115.85992618716139</v>
      </c>
      <c r="G36" s="15" t="s">
        <v>119</v>
      </c>
    </row>
    <row r="38" spans="1:7" x14ac:dyDescent="0.3">
      <c r="A38" s="5" t="s">
        <v>120</v>
      </c>
    </row>
    <row r="39" spans="1:7" ht="30" customHeight="1" x14ac:dyDescent="0.3">
      <c r="A39" s="9" t="s">
        <v>121</v>
      </c>
      <c r="B39" s="10" t="s">
        <v>122</v>
      </c>
      <c r="C39" s="10" t="s">
        <v>123</v>
      </c>
      <c r="D39" s="10"/>
      <c r="E39" s="10"/>
      <c r="F39" s="10"/>
      <c r="G39" s="10" t="s">
        <v>124</v>
      </c>
    </row>
    <row r="40" spans="1:7" x14ac:dyDescent="0.3">
      <c r="A40" s="26" t="s">
        <v>125</v>
      </c>
      <c r="B40" s="21">
        <v>1512920</v>
      </c>
      <c r="C40" s="26" t="s">
        <v>126</v>
      </c>
      <c r="D40" s="26"/>
      <c r="E40" s="26"/>
      <c r="F40" s="26"/>
      <c r="G40" s="20" t="s">
        <v>127</v>
      </c>
    </row>
    <row r="41" spans="1:7" x14ac:dyDescent="0.3">
      <c r="A41" s="25" t="s">
        <v>128</v>
      </c>
      <c r="B41" s="23">
        <v>1650000</v>
      </c>
      <c r="C41" s="25" t="s">
        <v>126</v>
      </c>
      <c r="D41" s="25"/>
      <c r="E41" s="25"/>
      <c r="F41" s="25"/>
      <c r="G41" s="15" t="s">
        <v>129</v>
      </c>
    </row>
    <row r="42" spans="1:7" ht="23" x14ac:dyDescent="0.3">
      <c r="A42" s="26" t="s">
        <v>130</v>
      </c>
      <c r="B42" s="21">
        <v>1700000</v>
      </c>
      <c r="C42" s="26" t="s">
        <v>126</v>
      </c>
      <c r="D42" s="26"/>
      <c r="E42" s="26"/>
      <c r="F42" s="26"/>
      <c r="G42" s="20" t="s">
        <v>131</v>
      </c>
    </row>
    <row r="43" spans="1:7" x14ac:dyDescent="0.3">
      <c r="A43" s="25" t="s">
        <v>132</v>
      </c>
      <c r="B43" s="23">
        <v>518514</v>
      </c>
      <c r="C43" s="25" t="s">
        <v>126</v>
      </c>
      <c r="D43" s="25"/>
      <c r="E43" s="25"/>
      <c r="F43" s="25"/>
      <c r="G43" s="15" t="s">
        <v>133</v>
      </c>
    </row>
    <row r="44" spans="1:7" x14ac:dyDescent="0.3">
      <c r="A44" s="26" t="s">
        <v>134</v>
      </c>
      <c r="B44" s="17">
        <v>20</v>
      </c>
      <c r="C44" s="26" t="s">
        <v>135</v>
      </c>
      <c r="D44" s="26"/>
      <c r="E44" s="26"/>
      <c r="F44" s="26"/>
      <c r="G44" s="20" t="s">
        <v>136</v>
      </c>
    </row>
    <row r="45" spans="1:7" ht="23" x14ac:dyDescent="0.3">
      <c r="A45" s="25" t="s">
        <v>137</v>
      </c>
      <c r="B45" s="12">
        <v>18</v>
      </c>
      <c r="C45" s="25" t="s">
        <v>135</v>
      </c>
      <c r="D45" s="25"/>
      <c r="E45" s="25"/>
      <c r="F45" s="25"/>
      <c r="G45" s="15" t="s">
        <v>138</v>
      </c>
    </row>
    <row r="46" spans="1:7" x14ac:dyDescent="0.3">
      <c r="A46" s="26" t="s">
        <v>139</v>
      </c>
      <c r="B46" s="21">
        <v>85739</v>
      </c>
      <c r="C46" s="26" t="s">
        <v>126</v>
      </c>
      <c r="D46" s="26"/>
      <c r="E46" s="26"/>
      <c r="F46" s="26"/>
      <c r="G46" s="20" t="s">
        <v>140</v>
      </c>
    </row>
    <row r="47" spans="1:7" x14ac:dyDescent="0.3">
      <c r="A47" s="25" t="s">
        <v>141</v>
      </c>
      <c r="B47" s="23">
        <v>27100</v>
      </c>
      <c r="C47" s="25" t="s">
        <v>126</v>
      </c>
      <c r="D47" s="25"/>
      <c r="E47" s="25"/>
      <c r="F47" s="25"/>
      <c r="G47" s="15" t="s">
        <v>142</v>
      </c>
    </row>
    <row r="48" spans="1:7" ht="34.5" x14ac:dyDescent="0.3">
      <c r="A48" s="26" t="s">
        <v>143</v>
      </c>
      <c r="B48" s="17">
        <v>1736</v>
      </c>
      <c r="C48" s="26" t="s">
        <v>144</v>
      </c>
      <c r="D48" s="26"/>
      <c r="E48" s="26"/>
      <c r="F48" s="26"/>
      <c r="G48" s="20" t="s">
        <v>145</v>
      </c>
    </row>
    <row r="49" spans="1:7" ht="23" x14ac:dyDescent="0.3">
      <c r="A49" s="25" t="s">
        <v>146</v>
      </c>
      <c r="B49" s="12">
        <v>550</v>
      </c>
      <c r="C49" s="25" t="s">
        <v>144</v>
      </c>
      <c r="D49" s="25"/>
      <c r="E49" s="25"/>
      <c r="F49" s="25"/>
      <c r="G49" s="15" t="s">
        <v>147</v>
      </c>
    </row>
    <row r="50" spans="1:7" x14ac:dyDescent="0.3">
      <c r="A50" s="26" t="s">
        <v>148</v>
      </c>
      <c r="B50" s="17">
        <v>4282.5</v>
      </c>
      <c r="C50" s="26" t="s">
        <v>144</v>
      </c>
      <c r="D50" s="26"/>
      <c r="E50" s="26"/>
      <c r="F50" s="26"/>
      <c r="G50" s="20" t="s">
        <v>149</v>
      </c>
    </row>
    <row r="51" spans="1:7" ht="23" x14ac:dyDescent="0.3">
      <c r="A51" s="25" t="s">
        <v>150</v>
      </c>
      <c r="B51" s="12">
        <v>53471</v>
      </c>
      <c r="C51" s="25" t="s">
        <v>144</v>
      </c>
      <c r="D51" s="25"/>
      <c r="E51" s="25"/>
      <c r="F51" s="25"/>
      <c r="G51" s="15" t="s">
        <v>151</v>
      </c>
    </row>
    <row r="53" spans="1:7" x14ac:dyDescent="0.3">
      <c r="A53" s="5" t="s">
        <v>152</v>
      </c>
    </row>
    <row r="54" spans="1:7" ht="30" customHeight="1" x14ac:dyDescent="0.3">
      <c r="A54" s="9" t="s">
        <v>153</v>
      </c>
      <c r="B54" s="10" t="s">
        <v>122</v>
      </c>
      <c r="C54" s="10"/>
      <c r="D54" s="10"/>
      <c r="E54" s="10"/>
      <c r="F54" s="10"/>
      <c r="G54" s="10" t="s">
        <v>154</v>
      </c>
    </row>
    <row r="55" spans="1:7" x14ac:dyDescent="0.3">
      <c r="A55" s="16" t="s">
        <v>155</v>
      </c>
      <c r="B55" s="27">
        <f>E5*1000000/B42</f>
        <v>498.95823529411763</v>
      </c>
      <c r="C55" s="26"/>
      <c r="D55" s="26"/>
      <c r="E55" s="26"/>
      <c r="F55" s="26"/>
      <c r="G55" s="20" t="s">
        <v>156</v>
      </c>
    </row>
    <row r="56" spans="1:7" x14ac:dyDescent="0.3">
      <c r="A56" s="11" t="s">
        <v>157</v>
      </c>
      <c r="B56" s="28">
        <f>E7*1000000/B42</f>
        <v>130.62294117647059</v>
      </c>
      <c r="C56" s="25"/>
      <c r="D56" s="25"/>
      <c r="E56" s="25"/>
      <c r="F56" s="25"/>
      <c r="G56" s="15" t="s">
        <v>158</v>
      </c>
    </row>
    <row r="57" spans="1:7" x14ac:dyDescent="0.3">
      <c r="A57" s="16" t="s">
        <v>159</v>
      </c>
      <c r="B57" s="29">
        <f>B51*1000/B40</f>
        <v>35.342913042328739</v>
      </c>
      <c r="C57" s="26"/>
      <c r="D57" s="26"/>
      <c r="E57" s="26"/>
      <c r="F57" s="26"/>
      <c r="G57" s="20" t="s">
        <v>160</v>
      </c>
    </row>
    <row r="58" spans="1:7" x14ac:dyDescent="0.3">
      <c r="A58" s="11" t="s">
        <v>161</v>
      </c>
      <c r="B58" s="14">
        <f>B46/B40*100</f>
        <v>5.6671205351241305</v>
      </c>
      <c r="C58" s="25"/>
      <c r="D58" s="25"/>
      <c r="E58" s="25"/>
      <c r="F58" s="25"/>
      <c r="G58" s="15" t="s">
        <v>162</v>
      </c>
    </row>
    <row r="59" spans="1:7" x14ac:dyDescent="0.3">
      <c r="A59" s="16" t="s">
        <v>163</v>
      </c>
      <c r="B59" s="19">
        <f>B47/B40*100</f>
        <v>1.7912381355260028</v>
      </c>
      <c r="C59" s="26"/>
      <c r="D59" s="26"/>
      <c r="E59" s="26"/>
      <c r="F59" s="26"/>
      <c r="G59" s="20" t="s">
        <v>164</v>
      </c>
    </row>
    <row r="60" spans="1:7" x14ac:dyDescent="0.3">
      <c r="A60" s="11" t="s">
        <v>165</v>
      </c>
      <c r="B60" s="28">
        <f>E24*1000000/B42</f>
        <v>1153.4235294117648</v>
      </c>
      <c r="C60" s="25"/>
      <c r="D60" s="25"/>
      <c r="E60" s="25"/>
      <c r="F60" s="25"/>
      <c r="G60" s="15" t="s">
        <v>166</v>
      </c>
    </row>
    <row r="61" spans="1:7" ht="34.5" x14ac:dyDescent="0.3">
      <c r="A61" s="16" t="s">
        <v>167</v>
      </c>
      <c r="B61" s="19">
        <f>E6/AVERAGE(B20:D20)*2*100</f>
        <v>11.174751468622212</v>
      </c>
      <c r="C61" s="26"/>
      <c r="D61" s="26"/>
      <c r="E61" s="26"/>
      <c r="F61" s="26"/>
      <c r="G61" s="20" t="s">
        <v>168</v>
      </c>
    </row>
    <row r="62" spans="1:7" ht="34.5" x14ac:dyDescent="0.3">
      <c r="A62" s="11" t="s">
        <v>169</v>
      </c>
      <c r="B62" s="14">
        <f>(-(E16+E15)-(B21-D21))/AVERAGE(B23:D23)*2*100</f>
        <v>6.2987172758485279</v>
      </c>
      <c r="C62" s="25"/>
      <c r="D62" s="25"/>
      <c r="E62" s="25"/>
      <c r="F62" s="25"/>
      <c r="G62" s="15" t="s">
        <v>170</v>
      </c>
    </row>
    <row r="63" spans="1:7" x14ac:dyDescent="0.3">
      <c r="A63" s="16" t="s">
        <v>171</v>
      </c>
      <c r="B63" s="19">
        <f>B61-B62</f>
        <v>4.8760341927736839</v>
      </c>
      <c r="C63" s="26"/>
      <c r="D63" s="26"/>
      <c r="E63" s="26"/>
      <c r="F63" s="26"/>
      <c r="G63" s="20" t="s">
        <v>172</v>
      </c>
    </row>
    <row r="64" spans="1:7" x14ac:dyDescent="0.3">
      <c r="A64" s="11" t="s">
        <v>173</v>
      </c>
      <c r="B64" s="24">
        <f>2*D22-D20</f>
        <v>4577.4270000000006</v>
      </c>
      <c r="C64" s="25"/>
      <c r="D64" s="25"/>
      <c r="E64" s="25"/>
      <c r="F64" s="25"/>
      <c r="G64" s="15" t="s">
        <v>174</v>
      </c>
    </row>
    <row r="65" spans="1:9" ht="23" x14ac:dyDescent="0.3">
      <c r="A65" s="16" t="s">
        <v>175</v>
      </c>
      <c r="B65" s="19">
        <f>E12/B48*100</f>
        <v>49.107488479262678</v>
      </c>
      <c r="C65" s="26"/>
      <c r="D65" s="26"/>
      <c r="E65" s="26"/>
      <c r="F65" s="26"/>
      <c r="G65" s="20" t="s">
        <v>176</v>
      </c>
    </row>
    <row r="66" spans="1:9" x14ac:dyDescent="0.3">
      <c r="A66" s="11" t="s">
        <v>177</v>
      </c>
      <c r="B66" s="14">
        <f>E18/B49*100</f>
        <v>20.292181818181817</v>
      </c>
      <c r="C66" s="25"/>
      <c r="D66" s="25"/>
      <c r="E66" s="25"/>
      <c r="F66" s="25"/>
      <c r="G66" s="15" t="s">
        <v>178</v>
      </c>
    </row>
    <row r="67" spans="1:9" x14ac:dyDescent="0.3">
      <c r="A67" s="16" t="s">
        <v>179</v>
      </c>
      <c r="B67" s="18">
        <f>B49-E18</f>
        <v>438.39300000000003</v>
      </c>
      <c r="C67" s="26"/>
      <c r="D67" s="26"/>
      <c r="E67" s="26"/>
      <c r="F67" s="26"/>
      <c r="G67" s="20" t="s">
        <v>180</v>
      </c>
    </row>
    <row r="68" spans="1:9" x14ac:dyDescent="0.3">
      <c r="A68" s="11" t="s">
        <v>181</v>
      </c>
      <c r="B68" s="30">
        <f>(B49-E18)/E18</f>
        <v>3.9280063078480745</v>
      </c>
      <c r="C68" s="25"/>
      <c r="D68" s="25"/>
      <c r="E68" s="25"/>
      <c r="F68" s="25"/>
      <c r="G68" s="15"/>
    </row>
    <row r="70" spans="1:9" x14ac:dyDescent="0.3">
      <c r="A70" s="5" t="s">
        <v>182</v>
      </c>
    </row>
    <row r="71" spans="1:9" ht="30" customHeight="1" x14ac:dyDescent="0.3">
      <c r="A71" s="9" t="s">
        <v>65</v>
      </c>
      <c r="B71" s="10" t="s">
        <v>183</v>
      </c>
      <c r="C71" s="10" t="s">
        <v>184</v>
      </c>
      <c r="D71" s="10" t="s">
        <v>185</v>
      </c>
      <c r="E71" s="10" t="s">
        <v>186</v>
      </c>
      <c r="F71" s="10" t="s">
        <v>187</v>
      </c>
      <c r="G71" s="10" t="s">
        <v>188</v>
      </c>
      <c r="H71" s="10" t="s">
        <v>67</v>
      </c>
      <c r="I71" s="10" t="s">
        <v>68</v>
      </c>
    </row>
    <row r="72" spans="1:9" x14ac:dyDescent="0.3">
      <c r="A72" s="16" t="s">
        <v>72</v>
      </c>
      <c r="B72" s="17">
        <v>193.72900000000001</v>
      </c>
      <c r="C72" s="17">
        <v>233.93899999999999</v>
      </c>
      <c r="D72" s="17">
        <v>243.399</v>
      </c>
      <c r="E72" s="17">
        <v>290.23099999999999</v>
      </c>
      <c r="F72" s="17">
        <v>489.45800000000003</v>
      </c>
      <c r="G72" s="17">
        <v>434.82400000000001</v>
      </c>
      <c r="H72" s="17">
        <v>395.14299999999997</v>
      </c>
      <c r="I72" s="17">
        <v>453.08600000000001</v>
      </c>
    </row>
    <row r="73" spans="1:9" x14ac:dyDescent="0.3">
      <c r="A73" s="11" t="s">
        <v>74</v>
      </c>
      <c r="B73" s="12">
        <v>33.043999999999997</v>
      </c>
      <c r="C73" s="12">
        <v>39.457999999999998</v>
      </c>
      <c r="D73" s="12">
        <v>48.997</v>
      </c>
      <c r="E73" s="12">
        <v>73.849999999999994</v>
      </c>
      <c r="F73" s="12">
        <v>156.16900000000001</v>
      </c>
      <c r="G73" s="12">
        <v>125.005</v>
      </c>
      <c r="H73" s="12">
        <v>119.524</v>
      </c>
      <c r="I73" s="12">
        <v>102.535</v>
      </c>
    </row>
    <row r="74" spans="1:9" x14ac:dyDescent="0.3">
      <c r="A74" s="16" t="s">
        <v>85</v>
      </c>
      <c r="B74" s="17">
        <v>-41.145000000000003</v>
      </c>
      <c r="C74" s="17">
        <v>-50.363999999999997</v>
      </c>
      <c r="D74" s="17">
        <v>-61.261000000000003</v>
      </c>
      <c r="E74" s="17">
        <v>-83.816999999999993</v>
      </c>
      <c r="F74" s="17">
        <v>-169.858</v>
      </c>
      <c r="G74" s="17">
        <v>-149.91900000000001</v>
      </c>
      <c r="H74" s="17">
        <v>-137.816</v>
      </c>
      <c r="I74" s="17">
        <v>-128.702</v>
      </c>
    </row>
    <row r="75" spans="1:9" x14ac:dyDescent="0.3">
      <c r="A75" s="11" t="s">
        <v>92</v>
      </c>
      <c r="B75" s="12">
        <v>55.488999999999997</v>
      </c>
      <c r="C75" s="12">
        <v>41.545000000000002</v>
      </c>
      <c r="D75" s="12">
        <v>66.466999999999999</v>
      </c>
      <c r="E75" s="12">
        <v>91.022000000000006</v>
      </c>
      <c r="F75" s="12">
        <v>171.06899999999999</v>
      </c>
      <c r="G75" s="12">
        <v>11.667</v>
      </c>
      <c r="H75" s="12">
        <v>14.170999999999999</v>
      </c>
      <c r="I75" s="12">
        <v>97.436000000000007</v>
      </c>
    </row>
    <row r="76" spans="1:9" x14ac:dyDescent="0.3">
      <c r="A76" s="16" t="s">
        <v>95</v>
      </c>
      <c r="B76" s="21">
        <v>4102.4589999999998</v>
      </c>
      <c r="C76" s="21">
        <v>3881.5859999999998</v>
      </c>
      <c r="D76" s="21">
        <v>4275.7030000000004</v>
      </c>
      <c r="E76" s="21">
        <v>5052.6170000000002</v>
      </c>
      <c r="F76" s="21">
        <v>5750.067</v>
      </c>
      <c r="G76" s="21">
        <v>5832.1909999999998</v>
      </c>
      <c r="H76" s="21">
        <v>5909.5479999999998</v>
      </c>
      <c r="I76" s="21">
        <v>6303.0649999999996</v>
      </c>
    </row>
    <row r="77" spans="1:9" x14ac:dyDescent="0.3">
      <c r="A77" s="11" t="s">
        <v>99</v>
      </c>
      <c r="B77" s="23">
        <v>4161.7129999999997</v>
      </c>
      <c r="C77" s="23">
        <v>4029.8</v>
      </c>
      <c r="D77" s="23">
        <v>4082.8960000000002</v>
      </c>
      <c r="E77" s="23">
        <v>4156.25</v>
      </c>
      <c r="F77" s="23">
        <v>4293.0569999999998</v>
      </c>
      <c r="G77" s="23">
        <v>4302.33</v>
      </c>
      <c r="H77" s="23">
        <v>5358.4459999999999</v>
      </c>
      <c r="I77" s="23">
        <v>5440.2460000000001</v>
      </c>
    </row>
    <row r="78" spans="1:9" x14ac:dyDescent="0.3">
      <c r="A78" s="16" t="s">
        <v>189</v>
      </c>
      <c r="B78" s="18">
        <f t="shared" ref="B78:I78" si="3">B73+B74</f>
        <v>-8.1010000000000062</v>
      </c>
      <c r="C78" s="18">
        <f t="shared" si="3"/>
        <v>-10.905999999999999</v>
      </c>
      <c r="D78" s="18">
        <f t="shared" si="3"/>
        <v>-12.264000000000003</v>
      </c>
      <c r="E78" s="18">
        <f t="shared" si="3"/>
        <v>-9.9669999999999987</v>
      </c>
      <c r="F78" s="18">
        <f t="shared" si="3"/>
        <v>-13.688999999999993</v>
      </c>
      <c r="G78" s="18">
        <f t="shared" si="3"/>
        <v>-24.914000000000016</v>
      </c>
      <c r="H78" s="18">
        <f t="shared" si="3"/>
        <v>-18.292000000000002</v>
      </c>
      <c r="I78" s="18">
        <f t="shared" si="3"/>
        <v>-26.167000000000002</v>
      </c>
    </row>
    <row r="79" spans="1:9" x14ac:dyDescent="0.3">
      <c r="A79" s="11" t="s">
        <v>108</v>
      </c>
      <c r="B79" s="14">
        <f t="shared" ref="B79:I79" si="4">B75/B72*100</f>
        <v>28.642588357963955</v>
      </c>
      <c r="C79" s="14">
        <f t="shared" si="4"/>
        <v>17.758902961883226</v>
      </c>
      <c r="D79" s="14">
        <f t="shared" si="4"/>
        <v>27.307836104503302</v>
      </c>
      <c r="E79" s="14">
        <f t="shared" si="4"/>
        <v>31.361915164127886</v>
      </c>
      <c r="F79" s="14">
        <f t="shared" si="4"/>
        <v>34.950700570835494</v>
      </c>
      <c r="G79" s="14">
        <f t="shared" si="4"/>
        <v>2.683154563685537</v>
      </c>
      <c r="H79" s="14">
        <f t="shared" si="4"/>
        <v>3.5862966065449724</v>
      </c>
      <c r="I79" s="14">
        <f t="shared" si="4"/>
        <v>21.504968151741615</v>
      </c>
    </row>
    <row r="80" spans="1:9" x14ac:dyDescent="0.3">
      <c r="A80" s="16" t="s">
        <v>118</v>
      </c>
      <c r="B80" s="19">
        <f t="shared" ref="B80:I80" si="5">B76/B77*100</f>
        <v>98.576211286073786</v>
      </c>
      <c r="C80" s="19">
        <f t="shared" si="5"/>
        <v>96.322050722120196</v>
      </c>
      <c r="D80" s="19">
        <f t="shared" si="5"/>
        <v>104.72230985065502</v>
      </c>
      <c r="E80" s="19">
        <f t="shared" si="5"/>
        <v>121.56672481203007</v>
      </c>
      <c r="F80" s="19">
        <f t="shared" si="5"/>
        <v>133.93875273493921</v>
      </c>
      <c r="G80" s="19">
        <f t="shared" si="5"/>
        <v>135.5588948314053</v>
      </c>
      <c r="H80" s="19">
        <f t="shared" si="5"/>
        <v>110.28473553713147</v>
      </c>
      <c r="I80" s="19">
        <f t="shared" si="5"/>
        <v>115.85992618716139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365"/>
  <sheetViews>
    <sheetView showGridLines="0" workbookViewId="0">
      <pane xSplit="5" ySplit="4" topLeftCell="F5" activePane="bottomRight" state="frozen"/>
      <selection pane="topRight"/>
      <selection pane="bottomLeft"/>
      <selection pane="bottomRight"/>
    </sheetView>
  </sheetViews>
  <sheetFormatPr defaultRowHeight="14" x14ac:dyDescent="0.3"/>
  <cols>
    <col min="1" max="1" width="18" customWidth="1"/>
    <col min="2" max="2" width="10" customWidth="1"/>
    <col min="3" max="3" width="58" customWidth="1"/>
    <col min="4" max="4" width="50" customWidth="1"/>
    <col min="5" max="5" width="9" customWidth="1"/>
    <col min="6" max="15" width="12" customWidth="1"/>
  </cols>
  <sheetData>
    <row r="1" spans="1:15" ht="18" x14ac:dyDescent="0.4">
      <c r="A1" s="1" t="s">
        <v>190</v>
      </c>
    </row>
    <row r="2" spans="1:15" x14ac:dyDescent="0.3">
      <c r="A2" s="8" t="s">
        <v>191</v>
      </c>
    </row>
    <row r="4" spans="1:15" ht="30" customHeight="1" x14ac:dyDescent="0.3">
      <c r="A4" s="9" t="s">
        <v>192</v>
      </c>
      <c r="B4" s="9" t="s">
        <v>193</v>
      </c>
      <c r="C4" s="9" t="s">
        <v>194</v>
      </c>
      <c r="D4" s="9" t="s">
        <v>195</v>
      </c>
      <c r="E4" s="10" t="s">
        <v>123</v>
      </c>
      <c r="F4" s="10" t="s">
        <v>196</v>
      </c>
      <c r="G4" s="10" t="s">
        <v>197</v>
      </c>
      <c r="H4" s="10" t="s">
        <v>183</v>
      </c>
      <c r="I4" s="10" t="s">
        <v>184</v>
      </c>
      <c r="J4" s="10" t="s">
        <v>185</v>
      </c>
      <c r="K4" s="10" t="s">
        <v>186</v>
      </c>
      <c r="L4" s="10" t="s">
        <v>187</v>
      </c>
      <c r="M4" s="10" t="s">
        <v>188</v>
      </c>
      <c r="N4" s="10" t="s">
        <v>67</v>
      </c>
      <c r="O4" s="10" t="s">
        <v>68</v>
      </c>
    </row>
    <row r="5" spans="1:15" x14ac:dyDescent="0.3">
      <c r="A5" s="11" t="s">
        <v>198</v>
      </c>
      <c r="B5" s="11" t="s">
        <v>199</v>
      </c>
      <c r="C5" s="11" t="s">
        <v>200</v>
      </c>
      <c r="D5" s="11" t="s">
        <v>201</v>
      </c>
      <c r="E5" s="11" t="s">
        <v>144</v>
      </c>
      <c r="F5" s="12">
        <v>181.5016</v>
      </c>
      <c r="G5" s="12">
        <v>198.2423</v>
      </c>
      <c r="H5" s="12">
        <v>193.72909999999999</v>
      </c>
      <c r="I5" s="12">
        <v>233.93889999999999</v>
      </c>
      <c r="J5" s="12">
        <v>243.39879999999999</v>
      </c>
      <c r="K5" s="12">
        <v>290.23149999999998</v>
      </c>
      <c r="L5" s="12">
        <v>489.45800000000003</v>
      </c>
      <c r="M5" s="12">
        <v>434.82400000000001</v>
      </c>
      <c r="N5" s="12">
        <v>395.14269999999999</v>
      </c>
      <c r="O5" s="12">
        <v>453.08580000000001</v>
      </c>
    </row>
    <row r="6" spans="1:15" x14ac:dyDescent="0.3">
      <c r="A6" s="25" t="s">
        <v>198</v>
      </c>
      <c r="B6" s="25" t="s">
        <v>202</v>
      </c>
      <c r="C6" s="25" t="s">
        <v>203</v>
      </c>
      <c r="D6" s="25" t="s">
        <v>204</v>
      </c>
      <c r="E6" s="25" t="s">
        <v>144</v>
      </c>
      <c r="F6" s="12">
        <v>15.9541</v>
      </c>
      <c r="G6" s="12">
        <v>9.7494999999999994</v>
      </c>
      <c r="H6" s="12">
        <v>9.9452999999999996</v>
      </c>
      <c r="I6" s="12">
        <v>12.2188</v>
      </c>
      <c r="J6" s="12">
        <v>17.5442</v>
      </c>
      <c r="K6" s="12">
        <v>29.7727</v>
      </c>
      <c r="L6" s="12">
        <v>71.115600000000001</v>
      </c>
      <c r="M6" s="12">
        <v>52.957299999999996</v>
      </c>
      <c r="N6" s="12">
        <v>23.463699999999999</v>
      </c>
      <c r="O6" s="12">
        <v>53.759500000000003</v>
      </c>
    </row>
    <row r="7" spans="1:15" x14ac:dyDescent="0.3">
      <c r="A7" s="25" t="s">
        <v>198</v>
      </c>
      <c r="B7" s="25" t="s">
        <v>205</v>
      </c>
      <c r="C7" s="25" t="s">
        <v>206</v>
      </c>
      <c r="D7" s="25" t="s">
        <v>207</v>
      </c>
      <c r="E7" s="25" t="s">
        <v>144</v>
      </c>
      <c r="F7" s="12">
        <v>14.4754</v>
      </c>
      <c r="G7" s="12">
        <v>18.386800000000001</v>
      </c>
      <c r="H7" s="12">
        <v>8.2146000000000008</v>
      </c>
      <c r="I7" s="12">
        <v>7.5232000000000001</v>
      </c>
      <c r="J7" s="12">
        <v>2.8540999999999999</v>
      </c>
      <c r="K7" s="12">
        <v>18.799800000000001</v>
      </c>
      <c r="L7" s="12">
        <v>57.229900000000001</v>
      </c>
      <c r="M7" s="12">
        <v>56.051699999999997</v>
      </c>
      <c r="N7" s="12">
        <v>14.2186</v>
      </c>
      <c r="O7" s="12">
        <v>13.457700000000001</v>
      </c>
    </row>
    <row r="8" spans="1:15" x14ac:dyDescent="0.3">
      <c r="A8" s="25" t="s">
        <v>198</v>
      </c>
      <c r="B8" s="25" t="s">
        <v>208</v>
      </c>
      <c r="C8" s="25" t="s">
        <v>209</v>
      </c>
      <c r="D8" s="25" t="s">
        <v>210</v>
      </c>
      <c r="E8" s="25" t="s">
        <v>144</v>
      </c>
      <c r="F8" s="12">
        <v>3.4188999999999998</v>
      </c>
      <c r="G8" s="12">
        <v>-3.4508000000000001</v>
      </c>
      <c r="H8" s="12">
        <v>8.4199999999999997E-2</v>
      </c>
      <c r="I8" s="12">
        <v>-6.0400000000000002E-2</v>
      </c>
      <c r="J8" s="12">
        <v>8.2258999999999993</v>
      </c>
      <c r="K8" s="12">
        <v>10.786799999999999</v>
      </c>
      <c r="L8" s="12">
        <v>10.2348</v>
      </c>
      <c r="M8" s="12">
        <v>-28.894600000000001</v>
      </c>
      <c r="N8" s="12">
        <v>-1E-3</v>
      </c>
      <c r="O8" s="12">
        <v>1.6654</v>
      </c>
    </row>
    <row r="9" spans="1:15" x14ac:dyDescent="0.3">
      <c r="A9" s="25" t="s">
        <v>198</v>
      </c>
      <c r="B9" s="25" t="s">
        <v>211</v>
      </c>
      <c r="C9" s="25" t="s">
        <v>212</v>
      </c>
      <c r="D9" s="25" t="s">
        <v>213</v>
      </c>
      <c r="E9" s="25" t="s">
        <v>144</v>
      </c>
      <c r="F9" s="12">
        <v>-1.9402999999999999</v>
      </c>
      <c r="G9" s="12">
        <v>-5.1864999999999997</v>
      </c>
      <c r="H9" s="12">
        <v>1.6465000000000001</v>
      </c>
      <c r="I9" s="12">
        <v>4.7560000000000002</v>
      </c>
      <c r="J9" s="12">
        <v>6.4641999999999999</v>
      </c>
      <c r="K9" s="12">
        <v>0.18609999999999999</v>
      </c>
      <c r="L9" s="12">
        <v>3.6509999999999998</v>
      </c>
      <c r="M9" s="12">
        <v>25.8002</v>
      </c>
      <c r="N9" s="12">
        <v>9.2460000000000004</v>
      </c>
      <c r="O9" s="12">
        <v>38.636299999999999</v>
      </c>
    </row>
    <row r="10" spans="1:15" x14ac:dyDescent="0.3">
      <c r="A10" s="25" t="s">
        <v>198</v>
      </c>
      <c r="B10" s="25" t="s">
        <v>214</v>
      </c>
      <c r="C10" s="25" t="s">
        <v>215</v>
      </c>
      <c r="D10" s="25" t="s">
        <v>216</v>
      </c>
      <c r="E10" s="25" t="s">
        <v>144</v>
      </c>
      <c r="F10" s="12">
        <v>57.063299999999998</v>
      </c>
      <c r="G10" s="12">
        <v>58.792700000000004</v>
      </c>
      <c r="H10" s="12">
        <v>55.089799999999997</v>
      </c>
      <c r="I10" s="12">
        <v>74.085899999999995</v>
      </c>
      <c r="J10" s="12">
        <v>70.417199999999994</v>
      </c>
      <c r="K10" s="12">
        <v>57.673200000000001</v>
      </c>
      <c r="L10" s="12">
        <v>85.607699999999994</v>
      </c>
      <c r="M10" s="12">
        <v>90.2119</v>
      </c>
      <c r="N10" s="12">
        <v>98.395899999999997</v>
      </c>
      <c r="O10" s="12">
        <v>95.042599999999993</v>
      </c>
    </row>
    <row r="11" spans="1:15" x14ac:dyDescent="0.3">
      <c r="A11" s="25" t="s">
        <v>198</v>
      </c>
      <c r="B11" s="25" t="s">
        <v>217</v>
      </c>
      <c r="C11" s="25" t="s">
        <v>218</v>
      </c>
      <c r="D11" s="25" t="s">
        <v>219</v>
      </c>
      <c r="E11" s="25" t="s">
        <v>144</v>
      </c>
      <c r="F11" s="12">
        <v>74.202399999999997</v>
      </c>
      <c r="G11" s="12">
        <v>87.578000000000003</v>
      </c>
      <c r="H11" s="12">
        <v>93.4178</v>
      </c>
      <c r="I11" s="12">
        <v>105.3503</v>
      </c>
      <c r="J11" s="12">
        <v>103.7103</v>
      </c>
      <c r="K11" s="12">
        <v>125.0635</v>
      </c>
      <c r="L11" s="12">
        <v>171.1713</v>
      </c>
      <c r="M11" s="12">
        <v>155.85140000000001</v>
      </c>
      <c r="N11" s="12">
        <v>147.47460000000001</v>
      </c>
      <c r="O11" s="12">
        <v>188.60220000000001</v>
      </c>
    </row>
    <row r="12" spans="1:15" x14ac:dyDescent="0.3">
      <c r="A12" s="25" t="s">
        <v>198</v>
      </c>
      <c r="B12" s="25" t="s">
        <v>220</v>
      </c>
      <c r="C12" s="25" t="s">
        <v>221</v>
      </c>
      <c r="D12" s="25" t="s">
        <v>222</v>
      </c>
      <c r="E12" s="25" t="s">
        <v>144</v>
      </c>
      <c r="F12" s="12">
        <v>32.111800000000002</v>
      </c>
      <c r="G12" s="12">
        <v>40.224899999999998</v>
      </c>
      <c r="H12" s="12">
        <v>33.0443</v>
      </c>
      <c r="I12" s="12">
        <v>39.457599999999999</v>
      </c>
      <c r="J12" s="12">
        <v>48.996600000000001</v>
      </c>
      <c r="K12" s="12">
        <v>73.850200000000001</v>
      </c>
      <c r="L12" s="12">
        <v>156.1686</v>
      </c>
      <c r="M12" s="12">
        <v>125.0046</v>
      </c>
      <c r="N12" s="12">
        <v>119.5236</v>
      </c>
      <c r="O12" s="12">
        <v>102.5346</v>
      </c>
    </row>
    <row r="13" spans="1:15" x14ac:dyDescent="0.3">
      <c r="A13" s="25" t="s">
        <v>198</v>
      </c>
      <c r="B13" s="25" t="s">
        <v>223</v>
      </c>
      <c r="C13" s="25" t="s">
        <v>224</v>
      </c>
      <c r="D13" s="25" t="s">
        <v>225</v>
      </c>
      <c r="E13" s="25" t="s">
        <v>144</v>
      </c>
      <c r="F13" s="12">
        <v>0</v>
      </c>
      <c r="G13" s="12">
        <v>0</v>
      </c>
      <c r="H13" s="12">
        <v>0</v>
      </c>
      <c r="I13" s="12">
        <v>0</v>
      </c>
      <c r="J13" s="12">
        <v>0</v>
      </c>
      <c r="K13" s="12">
        <v>0</v>
      </c>
      <c r="L13" s="12">
        <v>0</v>
      </c>
      <c r="M13" s="12">
        <v>2.9180000000000001</v>
      </c>
      <c r="N13" s="12">
        <v>0.73799999999999999</v>
      </c>
      <c r="O13" s="12">
        <v>0</v>
      </c>
    </row>
    <row r="14" spans="1:15" x14ac:dyDescent="0.3">
      <c r="A14" s="25" t="s">
        <v>198</v>
      </c>
      <c r="B14" s="25" t="s">
        <v>226</v>
      </c>
      <c r="C14" s="25" t="s">
        <v>227</v>
      </c>
      <c r="D14" s="25" t="s">
        <v>228</v>
      </c>
      <c r="E14" s="25" t="s">
        <v>144</v>
      </c>
      <c r="F14" s="12">
        <v>0</v>
      </c>
      <c r="G14" s="12">
        <v>0</v>
      </c>
      <c r="H14" s="12">
        <v>0</v>
      </c>
      <c r="I14" s="12">
        <v>0.68279999999999996</v>
      </c>
      <c r="J14" s="12">
        <v>0</v>
      </c>
      <c r="K14" s="12">
        <v>0.18709999999999999</v>
      </c>
      <c r="L14" s="12">
        <v>0.29480000000000001</v>
      </c>
      <c r="M14" s="12">
        <v>0.44429999999999997</v>
      </c>
      <c r="N14" s="12">
        <v>0.31869999999999998</v>
      </c>
      <c r="O14" s="12">
        <v>0.31369999999999998</v>
      </c>
    </row>
    <row r="15" spans="1:15" x14ac:dyDescent="0.3">
      <c r="A15" s="25" t="s">
        <v>198</v>
      </c>
      <c r="B15" s="25" t="s">
        <v>229</v>
      </c>
      <c r="C15" s="25" t="s">
        <v>230</v>
      </c>
      <c r="D15" s="25" t="s">
        <v>231</v>
      </c>
      <c r="E15" s="25" t="s">
        <v>144</v>
      </c>
      <c r="F15" s="12">
        <v>1.3164</v>
      </c>
      <c r="G15" s="12">
        <v>1.4919</v>
      </c>
      <c r="H15" s="12">
        <v>1.4464999999999999</v>
      </c>
      <c r="I15" s="12">
        <v>1.3924000000000001</v>
      </c>
      <c r="J15" s="12">
        <v>1.6092</v>
      </c>
      <c r="K15" s="12">
        <v>1.8582000000000001</v>
      </c>
      <c r="L15" s="12">
        <v>2.2462</v>
      </c>
      <c r="M15" s="12">
        <v>2.2183999999999999</v>
      </c>
      <c r="N15" s="12">
        <v>2.1959</v>
      </c>
      <c r="O15" s="12">
        <v>2.3157999999999999</v>
      </c>
    </row>
    <row r="16" spans="1:15" x14ac:dyDescent="0.3">
      <c r="A16" s="25" t="s">
        <v>198</v>
      </c>
      <c r="B16" s="25" t="s">
        <v>232</v>
      </c>
      <c r="C16" s="25" t="s">
        <v>233</v>
      </c>
      <c r="D16" s="25" t="s">
        <v>234</v>
      </c>
      <c r="E16" s="25" t="s">
        <v>144</v>
      </c>
      <c r="F16" s="12">
        <v>0</v>
      </c>
      <c r="G16" s="12">
        <v>0</v>
      </c>
      <c r="H16" s="12">
        <v>0</v>
      </c>
      <c r="I16" s="12">
        <v>0</v>
      </c>
      <c r="J16" s="12">
        <v>0</v>
      </c>
      <c r="K16" s="12">
        <v>0</v>
      </c>
      <c r="L16" s="12">
        <v>0</v>
      </c>
      <c r="M16" s="12">
        <v>2.0446</v>
      </c>
      <c r="N16" s="12">
        <v>0.13089999999999999</v>
      </c>
      <c r="O16" s="12">
        <v>6.8154000000000003</v>
      </c>
    </row>
    <row r="17" spans="1:15" x14ac:dyDescent="0.3">
      <c r="A17" s="25" t="s">
        <v>198</v>
      </c>
      <c r="B17" s="25" t="s">
        <v>235</v>
      </c>
      <c r="C17" s="25" t="s">
        <v>236</v>
      </c>
      <c r="D17" s="25" t="s">
        <v>237</v>
      </c>
      <c r="E17" s="25" t="s">
        <v>144</v>
      </c>
      <c r="F17" s="12">
        <v>0.85370000000000001</v>
      </c>
      <c r="G17" s="12">
        <v>0.4052</v>
      </c>
      <c r="H17" s="12">
        <v>0.78549999999999998</v>
      </c>
      <c r="I17" s="12">
        <v>0.75109999999999999</v>
      </c>
      <c r="J17" s="12">
        <v>1.1213</v>
      </c>
      <c r="K17" s="12">
        <v>1.8266</v>
      </c>
      <c r="L17" s="12">
        <v>2.8536000000000001</v>
      </c>
      <c r="M17" s="12">
        <v>3.1734</v>
      </c>
      <c r="N17" s="12">
        <v>2.9014000000000002</v>
      </c>
      <c r="O17" s="12">
        <v>3.7021999999999999</v>
      </c>
    </row>
    <row r="18" spans="1:15" x14ac:dyDescent="0.3">
      <c r="A18" s="11" t="s">
        <v>198</v>
      </c>
      <c r="B18" s="11" t="s">
        <v>238</v>
      </c>
      <c r="C18" s="11" t="s">
        <v>239</v>
      </c>
      <c r="D18" s="11" t="s">
        <v>240</v>
      </c>
      <c r="E18" s="11" t="s">
        <v>144</v>
      </c>
      <c r="F18" s="12">
        <v>181.5016</v>
      </c>
      <c r="G18" s="12">
        <v>198.2423</v>
      </c>
      <c r="H18" s="12">
        <v>193.72909999999999</v>
      </c>
      <c r="I18" s="12">
        <v>233.93889999999999</v>
      </c>
      <c r="J18" s="12">
        <v>243.39879999999999</v>
      </c>
      <c r="K18" s="12">
        <v>290.23149999999998</v>
      </c>
      <c r="L18" s="12">
        <v>489.45800000000003</v>
      </c>
      <c r="M18" s="12">
        <v>434.82400000000001</v>
      </c>
      <c r="N18" s="12">
        <v>395.14269999999999</v>
      </c>
      <c r="O18" s="12">
        <v>453.08580000000001</v>
      </c>
    </row>
    <row r="19" spans="1:15" x14ac:dyDescent="0.3">
      <c r="A19" s="11" t="s">
        <v>198</v>
      </c>
      <c r="B19" s="11" t="s">
        <v>241</v>
      </c>
      <c r="C19" s="11" t="s">
        <v>242</v>
      </c>
      <c r="D19" s="11" t="s">
        <v>243</v>
      </c>
      <c r="E19" s="11" t="s">
        <v>144</v>
      </c>
      <c r="F19" s="12">
        <v>-49.662799999999997</v>
      </c>
      <c r="G19" s="12">
        <v>-117.2213</v>
      </c>
      <c r="H19" s="12">
        <v>-107.5628</v>
      </c>
      <c r="I19" s="12">
        <v>-145.0307</v>
      </c>
      <c r="J19" s="12">
        <v>-135.9127</v>
      </c>
      <c r="K19" s="12">
        <v>-141.1825</v>
      </c>
      <c r="L19" s="12">
        <v>-266.86720000000003</v>
      </c>
      <c r="M19" s="12">
        <v>-333.267</v>
      </c>
      <c r="N19" s="12">
        <v>-299.04090000000002</v>
      </c>
      <c r="O19" s="12">
        <v>-270.46420000000001</v>
      </c>
    </row>
    <row r="20" spans="1:15" x14ac:dyDescent="0.3">
      <c r="A20" s="25" t="s">
        <v>198</v>
      </c>
      <c r="B20" s="25" t="s">
        <v>244</v>
      </c>
      <c r="C20" s="25" t="s">
        <v>245</v>
      </c>
      <c r="D20" s="25" t="s">
        <v>246</v>
      </c>
      <c r="E20" s="25" t="s">
        <v>144</v>
      </c>
      <c r="F20" s="12">
        <v>4.0900999999999996</v>
      </c>
      <c r="G20" s="12">
        <v>-24.138500000000001</v>
      </c>
      <c r="H20" s="12">
        <v>-8.6601999999999997</v>
      </c>
      <c r="I20" s="12">
        <v>-12.369300000000001</v>
      </c>
      <c r="J20" s="12">
        <v>3.5293000000000001</v>
      </c>
      <c r="K20" s="12">
        <v>24.271999999999998</v>
      </c>
      <c r="L20" s="12">
        <v>1.0271999999999999</v>
      </c>
      <c r="M20" s="12">
        <v>-54.037999999999997</v>
      </c>
      <c r="N20" s="12">
        <v>-33.074599999999997</v>
      </c>
      <c r="O20" s="12">
        <v>-10.2844</v>
      </c>
    </row>
    <row r="21" spans="1:15" x14ac:dyDescent="0.3">
      <c r="A21" s="25" t="s">
        <v>198</v>
      </c>
      <c r="B21" s="25" t="s">
        <v>247</v>
      </c>
      <c r="C21" s="25" t="s">
        <v>248</v>
      </c>
      <c r="D21" s="25" t="s">
        <v>249</v>
      </c>
      <c r="E21" s="25" t="s">
        <v>144</v>
      </c>
      <c r="F21" s="12">
        <v>-0.27210000000000001</v>
      </c>
      <c r="G21" s="12">
        <v>-7.6889000000000003</v>
      </c>
      <c r="H21" s="12">
        <v>-0.54979999999999996</v>
      </c>
      <c r="I21" s="12">
        <v>-1.7396</v>
      </c>
      <c r="J21" s="12">
        <v>-1.8142</v>
      </c>
      <c r="K21" s="12">
        <v>-0.33400000000000002</v>
      </c>
      <c r="L21" s="12">
        <v>-0.4415</v>
      </c>
      <c r="M21" s="12">
        <v>-28.7362</v>
      </c>
      <c r="N21" s="12">
        <v>-15.4114</v>
      </c>
      <c r="O21" s="12">
        <v>-9.9712999999999994</v>
      </c>
    </row>
    <row r="22" spans="1:15" x14ac:dyDescent="0.3">
      <c r="A22" s="25" t="s">
        <v>198</v>
      </c>
      <c r="B22" s="25" t="s">
        <v>250</v>
      </c>
      <c r="C22" s="25" t="s">
        <v>251</v>
      </c>
      <c r="D22" s="25" t="s">
        <v>252</v>
      </c>
      <c r="E22" s="25" t="s">
        <v>144</v>
      </c>
      <c r="F22" s="12">
        <v>4.8516000000000004</v>
      </c>
      <c r="G22" s="12">
        <v>-15.1151</v>
      </c>
      <c r="H22" s="12">
        <v>-7.4398</v>
      </c>
      <c r="I22" s="12">
        <v>-10.554399999999999</v>
      </c>
      <c r="J22" s="12">
        <v>5.5795000000000003</v>
      </c>
      <c r="K22" s="12">
        <v>25.601299999999998</v>
      </c>
      <c r="L22" s="12">
        <v>2.4535</v>
      </c>
      <c r="M22" s="12">
        <v>-24.353000000000002</v>
      </c>
      <c r="N22" s="12">
        <v>-17.014800000000001</v>
      </c>
      <c r="O22" s="12">
        <v>0.47989999999999999</v>
      </c>
    </row>
    <row r="23" spans="1:15" x14ac:dyDescent="0.3">
      <c r="A23" s="25" t="s">
        <v>198</v>
      </c>
      <c r="B23" s="25" t="s">
        <v>253</v>
      </c>
      <c r="C23" s="25" t="s">
        <v>254</v>
      </c>
      <c r="D23" s="25" t="s">
        <v>255</v>
      </c>
      <c r="E23" s="25" t="s">
        <v>144</v>
      </c>
      <c r="F23" s="12">
        <v>-0.48949999999999999</v>
      </c>
      <c r="G23" s="12">
        <v>-1.3344</v>
      </c>
      <c r="H23" s="12">
        <v>-0.67059999999999997</v>
      </c>
      <c r="I23" s="12">
        <v>-7.5399999999999995E-2</v>
      </c>
      <c r="J23" s="12">
        <v>-0.23599999999999999</v>
      </c>
      <c r="K23" s="12">
        <v>-0.99529999999999996</v>
      </c>
      <c r="L23" s="12">
        <v>-0.98480000000000001</v>
      </c>
      <c r="M23" s="12">
        <v>-0.94879999999999998</v>
      </c>
      <c r="N23" s="12">
        <v>-0.64839999999999998</v>
      </c>
      <c r="O23" s="12">
        <v>-0.79300000000000004</v>
      </c>
    </row>
    <row r="24" spans="1:15" x14ac:dyDescent="0.3">
      <c r="A24" s="25" t="s">
        <v>198</v>
      </c>
      <c r="B24" s="25" t="s">
        <v>256</v>
      </c>
      <c r="C24" s="25" t="s">
        <v>257</v>
      </c>
      <c r="D24" s="25" t="s">
        <v>258</v>
      </c>
      <c r="E24" s="25" t="s">
        <v>144</v>
      </c>
      <c r="F24" s="12">
        <v>-10.525700000000001</v>
      </c>
      <c r="G24" s="12">
        <v>-43.351199999999999</v>
      </c>
      <c r="H24" s="12">
        <v>-52.6464</v>
      </c>
      <c r="I24" s="12">
        <v>-76.037499999999994</v>
      </c>
      <c r="J24" s="12">
        <v>-72.138900000000007</v>
      </c>
      <c r="K24" s="12">
        <v>-75.873599999999996</v>
      </c>
      <c r="L24" s="12">
        <v>-92.707999999999998</v>
      </c>
      <c r="M24" s="12">
        <v>-122.26779999999999</v>
      </c>
      <c r="N24" s="12">
        <v>-122.81950000000001</v>
      </c>
      <c r="O24" s="12">
        <v>-126.10639999999999</v>
      </c>
    </row>
    <row r="25" spans="1:15" x14ac:dyDescent="0.3">
      <c r="A25" s="25" t="s">
        <v>198</v>
      </c>
      <c r="B25" s="25" t="s">
        <v>259</v>
      </c>
      <c r="C25" s="25" t="s">
        <v>260</v>
      </c>
      <c r="D25" s="25" t="s">
        <v>261</v>
      </c>
      <c r="E25" s="25" t="s">
        <v>144</v>
      </c>
      <c r="F25" s="12">
        <v>-1.4999999999999999E-2</v>
      </c>
      <c r="G25" s="12">
        <v>-1.5299999999999999E-2</v>
      </c>
      <c r="H25" s="12">
        <v>-1.4999999999999999E-2</v>
      </c>
      <c r="I25" s="12">
        <v>-1.52E-2</v>
      </c>
      <c r="J25" s="12">
        <v>0</v>
      </c>
      <c r="K25" s="12">
        <v>-0.23769999999999999</v>
      </c>
      <c r="L25" s="12">
        <v>-0.13350000000000001</v>
      </c>
      <c r="M25" s="12">
        <v>-0.13150000000000001</v>
      </c>
      <c r="N25" s="12">
        <v>-0.1295</v>
      </c>
      <c r="O25" s="12">
        <v>-0.13150000000000001</v>
      </c>
    </row>
    <row r="26" spans="1:15" x14ac:dyDescent="0.3">
      <c r="A26" s="25" t="s">
        <v>198</v>
      </c>
      <c r="B26" s="25" t="s">
        <v>262</v>
      </c>
      <c r="C26" s="25" t="s">
        <v>263</v>
      </c>
      <c r="D26" s="25" t="s">
        <v>264</v>
      </c>
      <c r="E26" s="25" t="s">
        <v>144</v>
      </c>
      <c r="F26" s="12">
        <v>-38.659599999999998</v>
      </c>
      <c r="G26" s="12">
        <v>-44.658900000000003</v>
      </c>
      <c r="H26" s="12">
        <v>-41.145499999999998</v>
      </c>
      <c r="I26" s="12">
        <v>-50.363900000000001</v>
      </c>
      <c r="J26" s="12">
        <v>-61.261200000000002</v>
      </c>
      <c r="K26" s="12">
        <v>-83.816800000000001</v>
      </c>
      <c r="L26" s="12">
        <v>-169.85849999999999</v>
      </c>
      <c r="M26" s="12">
        <v>-149.9195</v>
      </c>
      <c r="N26" s="12">
        <v>-137.81620000000001</v>
      </c>
      <c r="O26" s="12">
        <v>-128.70150000000001</v>
      </c>
    </row>
    <row r="27" spans="1:15" x14ac:dyDescent="0.3">
      <c r="A27" s="25" t="s">
        <v>198</v>
      </c>
      <c r="B27" s="25" t="s">
        <v>265</v>
      </c>
      <c r="C27" s="25" t="s">
        <v>266</v>
      </c>
      <c r="D27" s="25" t="s">
        <v>267</v>
      </c>
      <c r="E27" s="25" t="s">
        <v>144</v>
      </c>
      <c r="F27" s="12">
        <v>-2.1600000000000001E-2</v>
      </c>
      <c r="G27" s="12">
        <v>-2.35E-2</v>
      </c>
      <c r="H27" s="12">
        <v>-2.76E-2</v>
      </c>
      <c r="I27" s="12">
        <v>-2.06E-2</v>
      </c>
      <c r="J27" s="12">
        <v>-1.8700000000000001E-2</v>
      </c>
      <c r="K27" s="12">
        <v>-7.4000000000000003E-3</v>
      </c>
      <c r="L27" s="12">
        <v>0</v>
      </c>
      <c r="M27" s="12">
        <v>0</v>
      </c>
      <c r="N27" s="12">
        <v>0</v>
      </c>
      <c r="O27" s="12">
        <v>0</v>
      </c>
    </row>
    <row r="28" spans="1:15" x14ac:dyDescent="0.3">
      <c r="A28" s="25" t="s">
        <v>198</v>
      </c>
      <c r="B28" s="25" t="s">
        <v>268</v>
      </c>
      <c r="C28" s="25" t="s">
        <v>269</v>
      </c>
      <c r="D28" s="25" t="s">
        <v>270</v>
      </c>
      <c r="E28" s="25" t="s">
        <v>144</v>
      </c>
      <c r="F28" s="12">
        <v>-0.75639999999999996</v>
      </c>
      <c r="G28" s="12">
        <v>-0.66410000000000002</v>
      </c>
      <c r="H28" s="12">
        <v>-0.53869999999999996</v>
      </c>
      <c r="I28" s="12">
        <v>-0.51880000000000004</v>
      </c>
      <c r="J28" s="12">
        <v>-0.35199999999999998</v>
      </c>
      <c r="K28" s="12">
        <v>-0.55359999999999998</v>
      </c>
      <c r="L28" s="12">
        <v>-0.70189999999999997</v>
      </c>
      <c r="M28" s="12">
        <v>-1.3869</v>
      </c>
      <c r="N28" s="12">
        <v>-1.0674999999999999</v>
      </c>
      <c r="O28" s="12">
        <v>-1.1002000000000001</v>
      </c>
    </row>
    <row r="29" spans="1:15" x14ac:dyDescent="0.3">
      <c r="A29" s="25" t="s">
        <v>198</v>
      </c>
      <c r="B29" s="25" t="s">
        <v>271</v>
      </c>
      <c r="C29" s="25" t="s">
        <v>272</v>
      </c>
      <c r="D29" s="25" t="s">
        <v>273</v>
      </c>
      <c r="E29" s="25" t="s">
        <v>144</v>
      </c>
      <c r="F29" s="12">
        <v>-2.2610000000000001</v>
      </c>
      <c r="G29" s="12">
        <v>-2.6438999999999999</v>
      </c>
      <c r="H29" s="12">
        <v>-2.7166999999999999</v>
      </c>
      <c r="I29" s="12">
        <v>-3.2555999999999998</v>
      </c>
      <c r="J29" s="12">
        <v>-3.6467000000000001</v>
      </c>
      <c r="K29" s="12">
        <v>-2.9666999999999999</v>
      </c>
      <c r="L29" s="12">
        <v>-2.5674000000000001</v>
      </c>
      <c r="M29" s="12">
        <v>-2.3896999999999999</v>
      </c>
      <c r="N29" s="12">
        <v>-2.3220999999999998</v>
      </c>
      <c r="O29" s="12">
        <v>-2.4020999999999999</v>
      </c>
    </row>
    <row r="30" spans="1:15" x14ac:dyDescent="0.3">
      <c r="A30" s="25" t="s">
        <v>198</v>
      </c>
      <c r="B30" s="25" t="s">
        <v>274</v>
      </c>
      <c r="C30" s="25" t="s">
        <v>275</v>
      </c>
      <c r="D30" s="25" t="s">
        <v>276</v>
      </c>
      <c r="E30" s="25" t="s">
        <v>144</v>
      </c>
      <c r="F30" s="12">
        <v>-1.5137</v>
      </c>
      <c r="G30" s="12">
        <v>-1.7259</v>
      </c>
      <c r="H30" s="12">
        <v>-1.8127</v>
      </c>
      <c r="I30" s="12">
        <v>-2.4496000000000002</v>
      </c>
      <c r="J30" s="12">
        <v>-2.0245000000000002</v>
      </c>
      <c r="K30" s="12">
        <v>-1.9986999999999999</v>
      </c>
      <c r="L30" s="12">
        <v>-1.9251</v>
      </c>
      <c r="M30" s="12">
        <v>-3.1335999999999999</v>
      </c>
      <c r="N30" s="12">
        <v>-1.8117000000000001</v>
      </c>
      <c r="O30" s="12">
        <v>-1.738</v>
      </c>
    </row>
    <row r="31" spans="1:15" x14ac:dyDescent="0.3">
      <c r="A31" s="11" t="s">
        <v>198</v>
      </c>
      <c r="B31" s="11" t="s">
        <v>277</v>
      </c>
      <c r="C31" s="11" t="s">
        <v>278</v>
      </c>
      <c r="D31" s="11" t="s">
        <v>279</v>
      </c>
      <c r="E31" s="11" t="s">
        <v>144</v>
      </c>
      <c r="F31" s="12">
        <v>131.83879999999999</v>
      </c>
      <c r="G31" s="12">
        <v>81.021000000000001</v>
      </c>
      <c r="H31" s="12">
        <v>86.166300000000007</v>
      </c>
      <c r="I31" s="12">
        <v>88.908299999999997</v>
      </c>
      <c r="J31" s="12">
        <v>107.48609999999999</v>
      </c>
      <c r="K31" s="12">
        <v>149.04900000000001</v>
      </c>
      <c r="L31" s="12">
        <v>222.5908</v>
      </c>
      <c r="M31" s="12">
        <v>101.557</v>
      </c>
      <c r="N31" s="12">
        <v>96.101799999999997</v>
      </c>
      <c r="O31" s="12">
        <v>182.6216</v>
      </c>
    </row>
    <row r="32" spans="1:15" x14ac:dyDescent="0.3">
      <c r="A32" s="11" t="s">
        <v>198</v>
      </c>
      <c r="B32" s="11" t="s">
        <v>280</v>
      </c>
      <c r="C32" s="11" t="s">
        <v>281</v>
      </c>
      <c r="D32" s="11" t="s">
        <v>282</v>
      </c>
      <c r="E32" s="11" t="s">
        <v>144</v>
      </c>
      <c r="F32" s="12">
        <v>1.4307000000000001</v>
      </c>
      <c r="G32" s="12">
        <v>1.8394999999999999</v>
      </c>
      <c r="H32" s="12">
        <v>1.0812999999999999</v>
      </c>
      <c r="I32" s="12">
        <v>1.2141</v>
      </c>
      <c r="J32" s="12">
        <v>1.3289</v>
      </c>
      <c r="K32" s="12">
        <v>1.6946000000000001</v>
      </c>
      <c r="L32" s="12">
        <v>2.2403</v>
      </c>
      <c r="M32" s="12">
        <v>2.2685</v>
      </c>
      <c r="N32" s="12">
        <v>2.2726999999999999</v>
      </c>
      <c r="O32" s="12">
        <v>2.0041000000000002</v>
      </c>
    </row>
    <row r="33" spans="1:15" x14ac:dyDescent="0.3">
      <c r="A33" s="25" t="s">
        <v>198</v>
      </c>
      <c r="B33" s="25" t="s">
        <v>283</v>
      </c>
      <c r="C33" s="25" t="s">
        <v>284</v>
      </c>
      <c r="D33" s="25" t="s">
        <v>285</v>
      </c>
      <c r="E33" s="25" t="s">
        <v>144</v>
      </c>
      <c r="F33" s="12">
        <v>0</v>
      </c>
      <c r="G33" s="12">
        <v>0.6</v>
      </c>
      <c r="H33" s="12">
        <v>0</v>
      </c>
      <c r="I33" s="12">
        <v>0</v>
      </c>
      <c r="J33" s="12">
        <v>0</v>
      </c>
      <c r="K33" s="12">
        <v>0</v>
      </c>
      <c r="L33" s="12">
        <v>0</v>
      </c>
      <c r="M33" s="12">
        <v>0</v>
      </c>
      <c r="N33" s="12">
        <v>0</v>
      </c>
      <c r="O33" s="12">
        <v>0</v>
      </c>
    </row>
    <row r="34" spans="1:15" x14ac:dyDescent="0.3">
      <c r="A34" s="25" t="s">
        <v>198</v>
      </c>
      <c r="B34" s="25" t="s">
        <v>286</v>
      </c>
      <c r="C34" s="25" t="s">
        <v>287</v>
      </c>
      <c r="D34" s="25" t="s">
        <v>288</v>
      </c>
      <c r="E34" s="25" t="s">
        <v>144</v>
      </c>
      <c r="F34" s="12">
        <v>1.409</v>
      </c>
      <c r="G34" s="12">
        <v>1.2395</v>
      </c>
      <c r="H34" s="12">
        <v>1.0812999999999999</v>
      </c>
      <c r="I34" s="12">
        <v>1.2141</v>
      </c>
      <c r="J34" s="12">
        <v>1.3289</v>
      </c>
      <c r="K34" s="12">
        <v>1.6946000000000001</v>
      </c>
      <c r="L34" s="12">
        <v>2.2403</v>
      </c>
      <c r="M34" s="12">
        <v>2.2685</v>
      </c>
      <c r="N34" s="12">
        <v>2.2726999999999999</v>
      </c>
      <c r="O34" s="12">
        <v>2.0041000000000002</v>
      </c>
    </row>
    <row r="35" spans="1:15" x14ac:dyDescent="0.3">
      <c r="A35" s="25" t="s">
        <v>198</v>
      </c>
      <c r="B35" s="25" t="s">
        <v>289</v>
      </c>
      <c r="C35" s="25" t="s">
        <v>290</v>
      </c>
      <c r="D35" s="25" t="s">
        <v>291</v>
      </c>
      <c r="E35" s="25" t="s">
        <v>144</v>
      </c>
      <c r="F35" s="12">
        <v>2.1700000000000001E-2</v>
      </c>
      <c r="G35" s="12">
        <v>0</v>
      </c>
      <c r="H35" s="12">
        <v>0</v>
      </c>
      <c r="I35" s="12">
        <v>0</v>
      </c>
      <c r="J35" s="12">
        <v>0</v>
      </c>
      <c r="K35" s="12">
        <v>0</v>
      </c>
      <c r="L35" s="12">
        <v>0</v>
      </c>
      <c r="M35" s="12">
        <v>0</v>
      </c>
      <c r="N35" s="12">
        <v>0</v>
      </c>
      <c r="O35" s="12">
        <v>0</v>
      </c>
    </row>
    <row r="36" spans="1:15" x14ac:dyDescent="0.3">
      <c r="A36" s="11" t="s">
        <v>198</v>
      </c>
      <c r="B36" s="11" t="s">
        <v>292</v>
      </c>
      <c r="C36" s="11" t="s">
        <v>293</v>
      </c>
      <c r="D36" s="11" t="s">
        <v>294</v>
      </c>
      <c r="E36" s="11" t="s">
        <v>144</v>
      </c>
      <c r="F36" s="12">
        <v>-9.9172999999999991</v>
      </c>
      <c r="G36" s="12">
        <v>-6.5572999999999997</v>
      </c>
      <c r="H36" s="12">
        <v>-6.2165999999999997</v>
      </c>
      <c r="I36" s="12">
        <v>-5.36</v>
      </c>
      <c r="J36" s="12">
        <v>-10.2699</v>
      </c>
      <c r="K36" s="12">
        <v>-14.2982</v>
      </c>
      <c r="L36" s="12">
        <v>-13.9755</v>
      </c>
      <c r="M36" s="12">
        <v>-29.015999999999998</v>
      </c>
      <c r="N36" s="12">
        <v>-38.113100000000003</v>
      </c>
      <c r="O36" s="12">
        <v>-37.823300000000003</v>
      </c>
    </row>
    <row r="37" spans="1:15" x14ac:dyDescent="0.3">
      <c r="A37" s="25" t="s">
        <v>198</v>
      </c>
      <c r="B37" s="25" t="s">
        <v>295</v>
      </c>
      <c r="C37" s="25" t="s">
        <v>296</v>
      </c>
      <c r="D37" s="25" t="s">
        <v>297</v>
      </c>
      <c r="E37" s="25" t="s">
        <v>144</v>
      </c>
      <c r="F37" s="12">
        <v>0</v>
      </c>
      <c r="G37" s="12">
        <v>0</v>
      </c>
      <c r="H37" s="12">
        <v>0</v>
      </c>
      <c r="I37" s="12">
        <v>0</v>
      </c>
      <c r="J37" s="12">
        <v>0</v>
      </c>
      <c r="K37" s="12">
        <v>0</v>
      </c>
      <c r="L37" s="12">
        <v>0</v>
      </c>
      <c r="M37" s="12">
        <v>0</v>
      </c>
      <c r="N37" s="12">
        <v>0</v>
      </c>
      <c r="O37" s="12">
        <v>0</v>
      </c>
    </row>
    <row r="38" spans="1:15" x14ac:dyDescent="0.3">
      <c r="A38" s="25" t="s">
        <v>198</v>
      </c>
      <c r="B38" s="25" t="s">
        <v>298</v>
      </c>
      <c r="C38" s="25" t="s">
        <v>299</v>
      </c>
      <c r="D38" s="25" t="s">
        <v>300</v>
      </c>
      <c r="E38" s="25" t="s">
        <v>144</v>
      </c>
      <c r="F38" s="12">
        <v>-9.9060000000000006</v>
      </c>
      <c r="G38" s="12">
        <v>-6.5572999999999997</v>
      </c>
      <c r="H38" s="12">
        <v>-6.2165999999999997</v>
      </c>
      <c r="I38" s="12">
        <v>-5.36</v>
      </c>
      <c r="J38" s="12">
        <v>-10.1568</v>
      </c>
      <c r="K38" s="12">
        <v>-14.103</v>
      </c>
      <c r="L38" s="12">
        <v>-13.8428</v>
      </c>
      <c r="M38" s="12">
        <v>-28.724499999999999</v>
      </c>
      <c r="N38" s="12">
        <v>-37.747199999999999</v>
      </c>
      <c r="O38" s="12">
        <v>-37.464100000000002</v>
      </c>
    </row>
    <row r="39" spans="1:15" x14ac:dyDescent="0.3">
      <c r="A39" s="25" t="s">
        <v>198</v>
      </c>
      <c r="B39" s="25" t="s">
        <v>301</v>
      </c>
      <c r="C39" s="25" t="s">
        <v>302</v>
      </c>
      <c r="D39" s="25" t="s">
        <v>303</v>
      </c>
      <c r="E39" s="25" t="s">
        <v>144</v>
      </c>
      <c r="F39" s="12">
        <v>-1.1299999999999999E-2</v>
      </c>
      <c r="G39" s="12">
        <v>0</v>
      </c>
      <c r="H39" s="12">
        <v>0</v>
      </c>
      <c r="I39" s="12">
        <v>0</v>
      </c>
      <c r="J39" s="12">
        <v>-0.11310000000000001</v>
      </c>
      <c r="K39" s="12">
        <v>-0.19520000000000001</v>
      </c>
      <c r="L39" s="12">
        <v>-0.13270000000000001</v>
      </c>
      <c r="M39" s="12">
        <v>-0.29149999999999998</v>
      </c>
      <c r="N39" s="12">
        <v>-0.3659</v>
      </c>
      <c r="O39" s="12">
        <v>-0.35930000000000001</v>
      </c>
    </row>
    <row r="40" spans="1:15" x14ac:dyDescent="0.3">
      <c r="A40" s="11" t="s">
        <v>198</v>
      </c>
      <c r="B40" s="11" t="s">
        <v>304</v>
      </c>
      <c r="C40" s="11" t="s">
        <v>305</v>
      </c>
      <c r="D40" s="11" t="s">
        <v>306</v>
      </c>
      <c r="E40" s="11" t="s">
        <v>144</v>
      </c>
      <c r="F40" s="12">
        <v>-36.220500000000001</v>
      </c>
      <c r="G40" s="12">
        <v>-35.669600000000003</v>
      </c>
      <c r="H40" s="12">
        <v>-31.7117</v>
      </c>
      <c r="I40" s="12">
        <v>-48.307699999999997</v>
      </c>
      <c r="J40" s="12">
        <v>-33.3626</v>
      </c>
      <c r="K40" s="12">
        <v>-45.343400000000003</v>
      </c>
      <c r="L40" s="12">
        <v>-39.587200000000003</v>
      </c>
      <c r="M40" s="12">
        <v>-63.110999999999997</v>
      </c>
      <c r="N40" s="12">
        <v>-46.085799999999999</v>
      </c>
      <c r="O40" s="12">
        <v>-49.345599999999997</v>
      </c>
    </row>
    <row r="41" spans="1:15" x14ac:dyDescent="0.3">
      <c r="A41" s="11" t="s">
        <v>198</v>
      </c>
      <c r="B41" s="11" t="s">
        <v>307</v>
      </c>
      <c r="C41" s="11" t="s">
        <v>308</v>
      </c>
      <c r="D41" s="11" t="s">
        <v>309</v>
      </c>
      <c r="E41" s="11" t="s">
        <v>144</v>
      </c>
      <c r="F41" s="12">
        <v>87.131799999999998</v>
      </c>
      <c r="G41" s="12">
        <v>40.633600000000001</v>
      </c>
      <c r="H41" s="12">
        <v>49.319400000000002</v>
      </c>
      <c r="I41" s="12">
        <v>36.454599999999999</v>
      </c>
      <c r="J41" s="12">
        <v>65.182500000000005</v>
      </c>
      <c r="K41" s="12">
        <v>91.102000000000004</v>
      </c>
      <c r="L41" s="12">
        <v>171.26840000000001</v>
      </c>
      <c r="M41" s="12">
        <v>11.698600000000001</v>
      </c>
      <c r="N41" s="12">
        <v>14.175599999999999</v>
      </c>
      <c r="O41" s="12">
        <v>97.456699999999998</v>
      </c>
    </row>
    <row r="42" spans="1:15" x14ac:dyDescent="0.3">
      <c r="A42" s="11" t="s">
        <v>198</v>
      </c>
      <c r="B42" s="11" t="s">
        <v>310</v>
      </c>
      <c r="C42" s="11" t="s">
        <v>311</v>
      </c>
      <c r="D42" s="11" t="s">
        <v>312</v>
      </c>
      <c r="E42" s="11" t="s">
        <v>144</v>
      </c>
      <c r="F42" s="12">
        <v>87.725800000000007</v>
      </c>
      <c r="G42" s="12">
        <v>42.741599999999998</v>
      </c>
      <c r="H42" s="12">
        <v>55.489400000000003</v>
      </c>
      <c r="I42" s="12">
        <v>41.544699999999999</v>
      </c>
      <c r="J42" s="12">
        <v>66.466999999999999</v>
      </c>
      <c r="K42" s="12">
        <v>91.022000000000006</v>
      </c>
      <c r="L42" s="12">
        <v>171.0692</v>
      </c>
      <c r="M42" s="12">
        <v>11.6669</v>
      </c>
      <c r="N42" s="12">
        <v>14.171099999999999</v>
      </c>
      <c r="O42" s="12">
        <v>97.436300000000003</v>
      </c>
    </row>
    <row r="43" spans="1:15" x14ac:dyDescent="0.3">
      <c r="A43" s="25" t="s">
        <v>198</v>
      </c>
      <c r="B43" s="25" t="s">
        <v>313</v>
      </c>
      <c r="C43" s="25" t="s">
        <v>314</v>
      </c>
      <c r="D43" s="25" t="s">
        <v>315</v>
      </c>
      <c r="E43" s="25" t="s">
        <v>144</v>
      </c>
      <c r="F43" s="12">
        <v>79.455200000000005</v>
      </c>
      <c r="G43" s="12">
        <v>61.307600000000001</v>
      </c>
      <c r="H43" s="12">
        <v>62.844999999999999</v>
      </c>
      <c r="I43" s="12">
        <v>52.159500000000001</v>
      </c>
      <c r="J43" s="12">
        <v>52.6616</v>
      </c>
      <c r="K43" s="12">
        <v>54.633899999999997</v>
      </c>
      <c r="L43" s="12">
        <v>158.3809</v>
      </c>
      <c r="M43" s="12">
        <v>64.914400000000001</v>
      </c>
      <c r="N43" s="12">
        <v>31.186800000000002</v>
      </c>
      <c r="O43" s="12">
        <v>95.2911</v>
      </c>
    </row>
    <row r="44" spans="1:15" x14ac:dyDescent="0.3">
      <c r="A44" s="25" t="s">
        <v>198</v>
      </c>
      <c r="B44" s="25" t="s">
        <v>316</v>
      </c>
      <c r="C44" s="25" t="s">
        <v>317</v>
      </c>
      <c r="D44" s="25" t="s">
        <v>318</v>
      </c>
      <c r="E44" s="25" t="s">
        <v>144</v>
      </c>
      <c r="F44" s="12">
        <v>8.2706</v>
      </c>
      <c r="G44" s="12">
        <v>-18.565999999999999</v>
      </c>
      <c r="H44" s="12">
        <v>-7.3556999999999997</v>
      </c>
      <c r="I44" s="12">
        <v>-10.614800000000001</v>
      </c>
      <c r="J44" s="12">
        <v>13.805400000000001</v>
      </c>
      <c r="K44" s="12">
        <v>36.388100000000001</v>
      </c>
      <c r="L44" s="12">
        <v>12.6883</v>
      </c>
      <c r="M44" s="12">
        <v>-53.247599999999998</v>
      </c>
      <c r="N44" s="12">
        <v>-17.015799999999999</v>
      </c>
      <c r="O44" s="12">
        <v>2.1452</v>
      </c>
    </row>
    <row r="45" spans="1:15" x14ac:dyDescent="0.3">
      <c r="A45" s="25" t="s">
        <v>198</v>
      </c>
      <c r="B45" s="25" t="s">
        <v>319</v>
      </c>
      <c r="C45" s="25" t="s">
        <v>320</v>
      </c>
      <c r="D45" s="25" t="s">
        <v>321</v>
      </c>
      <c r="E45" s="25" t="s">
        <v>144</v>
      </c>
      <c r="F45" s="12">
        <v>-16.894200000000001</v>
      </c>
      <c r="G45" s="12">
        <v>-9.2698999999999998</v>
      </c>
      <c r="H45" s="12">
        <v>-11.098800000000001</v>
      </c>
      <c r="I45" s="12">
        <v>-8.4695</v>
      </c>
      <c r="J45" s="12">
        <v>-11.7256</v>
      </c>
      <c r="K45" s="12">
        <v>-15.5107</v>
      </c>
      <c r="L45" s="12">
        <v>-32.2151</v>
      </c>
      <c r="M45" s="12">
        <v>-8.1735000000000007</v>
      </c>
      <c r="N45" s="12">
        <v>-2.8445999999999998</v>
      </c>
      <c r="O45" s="12">
        <v>-15.3024</v>
      </c>
    </row>
    <row r="46" spans="1:15" x14ac:dyDescent="0.3">
      <c r="A46" s="25" t="s">
        <v>198</v>
      </c>
      <c r="B46" s="25" t="s">
        <v>322</v>
      </c>
      <c r="C46" s="25" t="s">
        <v>323</v>
      </c>
      <c r="D46" s="25" t="s">
        <v>324</v>
      </c>
      <c r="E46" s="25" t="s">
        <v>144</v>
      </c>
      <c r="F46" s="12">
        <v>-0.68379999999999996</v>
      </c>
      <c r="G46" s="12">
        <v>0.69020000000000004</v>
      </c>
      <c r="H46" s="12">
        <v>-1.6799999999999999E-2</v>
      </c>
      <c r="I46" s="12">
        <v>1.21E-2</v>
      </c>
      <c r="J46" s="12">
        <v>-1.6452</v>
      </c>
      <c r="K46" s="12">
        <v>-2.1574</v>
      </c>
      <c r="L46" s="12">
        <v>-2.0470000000000002</v>
      </c>
      <c r="M46" s="12">
        <v>5.7789000000000001</v>
      </c>
      <c r="N46" s="12">
        <v>2.0000000000000001E-4</v>
      </c>
      <c r="O46" s="12">
        <v>-0.33310000000000001</v>
      </c>
    </row>
    <row r="47" spans="1:15" x14ac:dyDescent="0.3">
      <c r="A47" s="11" t="s">
        <v>198</v>
      </c>
      <c r="B47" s="11" t="s">
        <v>325</v>
      </c>
      <c r="C47" s="11" t="s">
        <v>326</v>
      </c>
      <c r="D47" s="11" t="s">
        <v>327</v>
      </c>
      <c r="E47" s="11" t="s">
        <v>144</v>
      </c>
      <c r="F47" s="12">
        <v>70.1477</v>
      </c>
      <c r="G47" s="12">
        <v>34.161900000000003</v>
      </c>
      <c r="H47" s="12">
        <v>44.373699999999999</v>
      </c>
      <c r="I47" s="12">
        <v>33.087299999999999</v>
      </c>
      <c r="J47" s="12">
        <v>53.096299999999999</v>
      </c>
      <c r="K47" s="12">
        <v>73.353899999999996</v>
      </c>
      <c r="L47" s="12">
        <v>136.80719999999999</v>
      </c>
      <c r="M47" s="12">
        <v>9.2722999999999995</v>
      </c>
      <c r="N47" s="12">
        <v>11.326700000000001</v>
      </c>
      <c r="O47" s="12">
        <v>81.800799999999995</v>
      </c>
    </row>
    <row r="48" spans="1:15" x14ac:dyDescent="0.3">
      <c r="A48" s="25" t="s">
        <v>198</v>
      </c>
      <c r="B48" s="25" t="s">
        <v>328</v>
      </c>
      <c r="C48" s="25" t="s">
        <v>329</v>
      </c>
      <c r="D48" s="25" t="s">
        <v>330</v>
      </c>
      <c r="E48" s="25" t="s">
        <v>144</v>
      </c>
      <c r="F48" s="12">
        <v>70.1477</v>
      </c>
      <c r="G48" s="12">
        <v>34.161900000000003</v>
      </c>
      <c r="H48" s="12">
        <v>44.373699999999999</v>
      </c>
      <c r="I48" s="12">
        <v>33.087299999999999</v>
      </c>
      <c r="J48" s="12">
        <v>53.096299999999999</v>
      </c>
      <c r="K48" s="12">
        <v>73.353899999999996</v>
      </c>
      <c r="L48" s="12">
        <v>136.80719999999999</v>
      </c>
      <c r="M48" s="12">
        <v>9.2722999999999995</v>
      </c>
      <c r="N48" s="12">
        <v>11.326700000000001</v>
      </c>
      <c r="O48" s="12">
        <v>81.800799999999995</v>
      </c>
    </row>
    <row r="49" spans="1:15" x14ac:dyDescent="0.3">
      <c r="A49" s="11" t="s">
        <v>198</v>
      </c>
      <c r="B49" s="11" t="s">
        <v>331</v>
      </c>
      <c r="C49" s="11" t="s">
        <v>332</v>
      </c>
      <c r="D49" s="11" t="s">
        <v>333</v>
      </c>
      <c r="E49" s="11" t="s">
        <v>144</v>
      </c>
      <c r="F49" s="12">
        <v>70.1477</v>
      </c>
      <c r="G49" s="12">
        <v>34.161900000000003</v>
      </c>
      <c r="H49" s="12">
        <v>44.373699999999999</v>
      </c>
      <c r="I49" s="12">
        <v>33.087299999999999</v>
      </c>
      <c r="J49" s="12">
        <v>53.096299999999999</v>
      </c>
      <c r="K49" s="12">
        <v>73.353899999999996</v>
      </c>
      <c r="L49" s="12">
        <v>136.80719999999999</v>
      </c>
      <c r="M49" s="12">
        <v>9.2722999999999995</v>
      </c>
      <c r="N49" s="12">
        <v>11.326700000000001</v>
      </c>
      <c r="O49" s="12">
        <v>81.800799999999995</v>
      </c>
    </row>
    <row r="50" spans="1:15" x14ac:dyDescent="0.3">
      <c r="A50" s="25" t="s">
        <v>198</v>
      </c>
      <c r="B50" s="25" t="s">
        <v>334</v>
      </c>
      <c r="C50" s="25" t="s">
        <v>335</v>
      </c>
      <c r="D50" s="25" t="s">
        <v>336</v>
      </c>
      <c r="E50" s="25" t="s">
        <v>144</v>
      </c>
      <c r="F50" s="12">
        <v>70.1477</v>
      </c>
      <c r="G50" s="12">
        <v>34.161900000000003</v>
      </c>
      <c r="H50" s="12">
        <v>44.373699999999999</v>
      </c>
      <c r="I50" s="12">
        <v>33.087299999999999</v>
      </c>
      <c r="J50" s="12">
        <v>53.096299999999999</v>
      </c>
      <c r="K50" s="12">
        <v>73.353899999999996</v>
      </c>
      <c r="L50" s="12">
        <v>136.80719999999999</v>
      </c>
      <c r="M50" s="12">
        <v>9.2722999999999995</v>
      </c>
      <c r="N50" s="12">
        <v>11.326700000000001</v>
      </c>
      <c r="O50" s="12">
        <v>81.800799999999995</v>
      </c>
    </row>
    <row r="51" spans="1:15" x14ac:dyDescent="0.3">
      <c r="A51" s="11" t="s">
        <v>337</v>
      </c>
      <c r="B51" s="11" t="s">
        <v>338</v>
      </c>
      <c r="C51" s="11" t="s">
        <v>339</v>
      </c>
      <c r="D51" s="11" t="s">
        <v>340</v>
      </c>
      <c r="E51" s="11" t="s">
        <v>144</v>
      </c>
      <c r="F51" s="12">
        <v>7854.3333000000002</v>
      </c>
      <c r="G51" s="12">
        <v>6527.3891999999996</v>
      </c>
      <c r="H51" s="12">
        <v>7786.2412999999997</v>
      </c>
      <c r="I51" s="12">
        <v>8172.0433999999996</v>
      </c>
      <c r="J51" s="12">
        <v>9137.2909999999993</v>
      </c>
      <c r="K51" s="12">
        <v>10019.356</v>
      </c>
      <c r="L51" s="12">
        <v>11280.433499999999</v>
      </c>
      <c r="M51" s="12">
        <v>13285.8364</v>
      </c>
      <c r="N51" s="12">
        <v>13212.814399999999</v>
      </c>
      <c r="O51" s="12">
        <v>13953.3382</v>
      </c>
    </row>
    <row r="52" spans="1:15" x14ac:dyDescent="0.3">
      <c r="A52" s="11" t="s">
        <v>337</v>
      </c>
      <c r="B52" s="11" t="s">
        <v>341</v>
      </c>
      <c r="C52" s="11" t="s">
        <v>342</v>
      </c>
      <c r="D52" s="11" t="s">
        <v>343</v>
      </c>
      <c r="E52" s="11" t="s">
        <v>144</v>
      </c>
      <c r="F52" s="12">
        <v>7846.2241000000004</v>
      </c>
      <c r="G52" s="12">
        <v>6521.7879000000003</v>
      </c>
      <c r="H52" s="12">
        <v>7777.5407999999998</v>
      </c>
      <c r="I52" s="12">
        <v>8165.5352999999996</v>
      </c>
      <c r="J52" s="12">
        <v>9128.4166999999998</v>
      </c>
      <c r="K52" s="12">
        <v>10011.8048</v>
      </c>
      <c r="L52" s="12">
        <v>11270.9375</v>
      </c>
      <c r="M52" s="12">
        <v>13275.5823</v>
      </c>
      <c r="N52" s="12">
        <v>13201.8434</v>
      </c>
      <c r="O52" s="12">
        <v>13666.0864</v>
      </c>
    </row>
    <row r="53" spans="1:15" x14ac:dyDescent="0.3">
      <c r="A53" s="25" t="s">
        <v>337</v>
      </c>
      <c r="B53" s="25" t="s">
        <v>344</v>
      </c>
      <c r="C53" s="25" t="s">
        <v>345</v>
      </c>
      <c r="D53" s="25" t="s">
        <v>346</v>
      </c>
      <c r="E53" s="25" t="s">
        <v>144</v>
      </c>
      <c r="F53" s="12">
        <v>632.96130000000005</v>
      </c>
      <c r="G53" s="12">
        <v>936.45540000000005</v>
      </c>
      <c r="H53" s="12">
        <v>156.72970000000001</v>
      </c>
      <c r="I53" s="12">
        <v>1093.1621</v>
      </c>
      <c r="J53" s="12">
        <v>535.01859999999999</v>
      </c>
      <c r="K53" s="12">
        <v>66.635499999999993</v>
      </c>
      <c r="L53" s="12">
        <v>742.16579999999999</v>
      </c>
      <c r="M53" s="12">
        <v>510.5788</v>
      </c>
      <c r="N53" s="12">
        <v>795.25980000000004</v>
      </c>
      <c r="O53" s="12">
        <v>841.92399999999998</v>
      </c>
    </row>
    <row r="54" spans="1:15" x14ac:dyDescent="0.3">
      <c r="A54" s="25" t="s">
        <v>337</v>
      </c>
      <c r="B54" s="25" t="s">
        <v>347</v>
      </c>
      <c r="C54" s="25" t="s">
        <v>348</v>
      </c>
      <c r="D54" s="25" t="s">
        <v>349</v>
      </c>
      <c r="E54" s="25" t="s">
        <v>144</v>
      </c>
      <c r="F54" s="12">
        <v>545.54729999999995</v>
      </c>
      <c r="G54" s="12">
        <v>886.45540000000005</v>
      </c>
      <c r="H54" s="12">
        <v>156.72970000000001</v>
      </c>
      <c r="I54" s="12">
        <v>943.16210000000001</v>
      </c>
      <c r="J54" s="12">
        <v>535.01859999999999</v>
      </c>
      <c r="K54" s="12">
        <v>66.635499999999993</v>
      </c>
      <c r="L54" s="12">
        <v>742.16579999999999</v>
      </c>
      <c r="M54" s="12">
        <v>510.5788</v>
      </c>
      <c r="N54" s="12">
        <v>795.25980000000004</v>
      </c>
      <c r="O54" s="12">
        <v>841.92399999999998</v>
      </c>
    </row>
    <row r="55" spans="1:15" x14ac:dyDescent="0.3">
      <c r="A55" s="25" t="s">
        <v>337</v>
      </c>
      <c r="B55" s="25" t="s">
        <v>350</v>
      </c>
      <c r="C55" s="25" t="s">
        <v>351</v>
      </c>
      <c r="D55" s="25" t="s">
        <v>352</v>
      </c>
      <c r="E55" s="25" t="s">
        <v>144</v>
      </c>
      <c r="F55" s="12">
        <v>87.414000000000001</v>
      </c>
      <c r="G55" s="12">
        <v>50</v>
      </c>
      <c r="H55" s="12">
        <v>0</v>
      </c>
      <c r="I55" s="12">
        <v>150</v>
      </c>
      <c r="J55" s="12">
        <v>0</v>
      </c>
      <c r="K55" s="12">
        <v>0</v>
      </c>
      <c r="L55" s="12">
        <v>0</v>
      </c>
      <c r="M55" s="12">
        <v>0</v>
      </c>
      <c r="N55" s="12">
        <v>0</v>
      </c>
      <c r="O55" s="12">
        <v>0</v>
      </c>
    </row>
    <row r="56" spans="1:15" x14ac:dyDescent="0.3">
      <c r="A56" s="25" t="s">
        <v>337</v>
      </c>
      <c r="B56" s="25" t="s">
        <v>353</v>
      </c>
      <c r="C56" s="25" t="s">
        <v>354</v>
      </c>
      <c r="D56" s="25" t="s">
        <v>355</v>
      </c>
      <c r="E56" s="25" t="s">
        <v>144</v>
      </c>
      <c r="F56" s="12">
        <v>621.22820000000002</v>
      </c>
      <c r="G56" s="12">
        <v>109.1022</v>
      </c>
      <c r="H56" s="12">
        <v>746.00660000000005</v>
      </c>
      <c r="I56" s="12">
        <v>167.08459999999999</v>
      </c>
      <c r="J56" s="12">
        <v>554.59270000000004</v>
      </c>
      <c r="K56" s="12">
        <v>743.51710000000003</v>
      </c>
      <c r="L56" s="12">
        <v>1009.1309</v>
      </c>
      <c r="M56" s="12">
        <v>2085.4708000000001</v>
      </c>
      <c r="N56" s="12">
        <v>1503.9150999999999</v>
      </c>
      <c r="O56" s="12">
        <v>1539.9393</v>
      </c>
    </row>
    <row r="57" spans="1:15" x14ac:dyDescent="0.3">
      <c r="A57" s="25" t="s">
        <v>337</v>
      </c>
      <c r="B57" s="25" t="s">
        <v>356</v>
      </c>
      <c r="C57" s="25" t="s">
        <v>357</v>
      </c>
      <c r="D57" s="25" t="s">
        <v>358</v>
      </c>
      <c r="E57" s="25" t="s">
        <v>144</v>
      </c>
      <c r="F57" s="12">
        <v>2915.5</v>
      </c>
      <c r="G57" s="12">
        <v>1627.5</v>
      </c>
      <c r="H57" s="12">
        <v>2571.5</v>
      </c>
      <c r="I57" s="12">
        <v>2774.75</v>
      </c>
      <c r="J57" s="12">
        <v>3242.25</v>
      </c>
      <c r="K57" s="12">
        <v>3936.25</v>
      </c>
      <c r="L57" s="12">
        <v>3496.75</v>
      </c>
      <c r="M57" s="12">
        <v>4561.75</v>
      </c>
      <c r="N57" s="12">
        <v>4661.79</v>
      </c>
      <c r="O57" s="12">
        <v>4659.25</v>
      </c>
    </row>
    <row r="58" spans="1:15" x14ac:dyDescent="0.3">
      <c r="A58" s="25" t="s">
        <v>337</v>
      </c>
      <c r="B58" s="25" t="s">
        <v>359</v>
      </c>
      <c r="C58" s="25" t="s">
        <v>360</v>
      </c>
      <c r="D58" s="25" t="s">
        <v>361</v>
      </c>
      <c r="E58" s="25" t="s">
        <v>144</v>
      </c>
      <c r="F58" s="12">
        <v>3408.8220000000001</v>
      </c>
      <c r="G58" s="12">
        <v>3597.6709999999998</v>
      </c>
      <c r="H58" s="12">
        <v>4102.4592000000002</v>
      </c>
      <c r="I58" s="12">
        <v>3881.5855000000001</v>
      </c>
      <c r="J58" s="12">
        <v>4275.7030999999997</v>
      </c>
      <c r="K58" s="12">
        <v>5052.6166999999996</v>
      </c>
      <c r="L58" s="12">
        <v>5750.067</v>
      </c>
      <c r="M58" s="12">
        <v>5832.1911</v>
      </c>
      <c r="N58" s="12">
        <v>5909.5481</v>
      </c>
      <c r="O58" s="12">
        <v>6303.0648000000001</v>
      </c>
    </row>
    <row r="59" spans="1:15" x14ac:dyDescent="0.3">
      <c r="A59" s="25" t="s">
        <v>337</v>
      </c>
      <c r="B59" s="25" t="s">
        <v>362</v>
      </c>
      <c r="C59" s="25" t="s">
        <v>363</v>
      </c>
      <c r="D59" s="25" t="s">
        <v>364</v>
      </c>
      <c r="E59" s="25" t="s">
        <v>144</v>
      </c>
      <c r="F59" s="12">
        <v>-16.746400000000001</v>
      </c>
      <c r="G59" s="12">
        <v>-23.500800000000002</v>
      </c>
      <c r="H59" s="12">
        <v>-33.8718</v>
      </c>
      <c r="I59" s="12">
        <v>-42.162199999999999</v>
      </c>
      <c r="J59" s="12">
        <v>-46.994599999999998</v>
      </c>
      <c r="K59" s="12">
        <v>-53.183799999999998</v>
      </c>
      <c r="L59" s="12">
        <v>-47.320300000000003</v>
      </c>
      <c r="M59" s="12">
        <v>-54.1188</v>
      </c>
      <c r="N59" s="12">
        <v>-57.350200000000001</v>
      </c>
      <c r="O59" s="12">
        <v>-63.083199999999998</v>
      </c>
    </row>
    <row r="60" spans="1:15" x14ac:dyDescent="0.3">
      <c r="A60" s="25" t="s">
        <v>337</v>
      </c>
      <c r="B60" s="25" t="s">
        <v>365</v>
      </c>
      <c r="C60" s="25" t="s">
        <v>366</v>
      </c>
      <c r="D60" s="25" t="s">
        <v>367</v>
      </c>
      <c r="E60" s="25" t="s">
        <v>144</v>
      </c>
      <c r="F60" s="12">
        <v>284.459</v>
      </c>
      <c r="G60" s="12">
        <v>274.56009999999998</v>
      </c>
      <c r="H60" s="12">
        <v>234.71700000000001</v>
      </c>
      <c r="I60" s="12">
        <v>291.11529999999999</v>
      </c>
      <c r="J60" s="12">
        <v>567.84690000000001</v>
      </c>
      <c r="K60" s="12">
        <v>265.96929999999998</v>
      </c>
      <c r="L60" s="12">
        <v>320.14420000000001</v>
      </c>
      <c r="M60" s="12">
        <v>339.71030000000002</v>
      </c>
      <c r="N60" s="12">
        <v>388.68060000000003</v>
      </c>
      <c r="O60" s="12">
        <v>384.99160000000001</v>
      </c>
    </row>
    <row r="61" spans="1:15" x14ac:dyDescent="0.3">
      <c r="A61" s="25" t="s">
        <v>337</v>
      </c>
      <c r="B61" s="25" t="s">
        <v>368</v>
      </c>
      <c r="C61" s="25" t="s">
        <v>369</v>
      </c>
      <c r="D61" s="25" t="s">
        <v>370</v>
      </c>
      <c r="E61" s="25" t="s">
        <v>144</v>
      </c>
      <c r="F61" s="12">
        <v>269.43119999999999</v>
      </c>
      <c r="G61" s="12">
        <v>162.49449999999999</v>
      </c>
      <c r="H61" s="12">
        <v>216.4485</v>
      </c>
      <c r="I61" s="12">
        <v>279.40899999999999</v>
      </c>
      <c r="J61" s="12">
        <v>557.85609999999997</v>
      </c>
      <c r="K61" s="12">
        <v>243.8759</v>
      </c>
      <c r="L61" s="12">
        <v>307.09539999999998</v>
      </c>
      <c r="M61" s="12">
        <v>310.0478</v>
      </c>
      <c r="N61" s="12">
        <v>340.89510000000001</v>
      </c>
      <c r="O61" s="12">
        <v>377.06049999999999</v>
      </c>
    </row>
    <row r="62" spans="1:15" x14ac:dyDescent="0.3">
      <c r="A62" s="25" t="s">
        <v>337</v>
      </c>
      <c r="B62" s="25" t="s">
        <v>371</v>
      </c>
      <c r="C62" s="25" t="s">
        <v>372</v>
      </c>
      <c r="D62" s="25" t="s">
        <v>373</v>
      </c>
      <c r="E62" s="25" t="s">
        <v>144</v>
      </c>
      <c r="F62" s="12">
        <v>25.1051</v>
      </c>
      <c r="G62" s="12">
        <v>1.0200000000000001E-2</v>
      </c>
      <c r="H62" s="12">
        <v>0.23</v>
      </c>
      <c r="I62" s="12">
        <v>0.54339999999999999</v>
      </c>
      <c r="J62" s="12">
        <v>318.46319999999997</v>
      </c>
      <c r="K62" s="12">
        <v>3.4948000000000001</v>
      </c>
      <c r="L62" s="12">
        <v>57.268099999999997</v>
      </c>
      <c r="M62" s="12">
        <v>0.01</v>
      </c>
      <c r="N62" s="12">
        <v>0.86160000000000003</v>
      </c>
      <c r="O62" s="12">
        <v>50.2316</v>
      </c>
    </row>
    <row r="63" spans="1:15" x14ac:dyDescent="0.3">
      <c r="A63" s="25" t="s">
        <v>337</v>
      </c>
      <c r="B63" s="25" t="s">
        <v>374</v>
      </c>
      <c r="C63" s="25" t="s">
        <v>375</v>
      </c>
      <c r="D63" s="25" t="s">
        <v>376</v>
      </c>
      <c r="E63" s="25" t="s">
        <v>144</v>
      </c>
      <c r="F63" s="12">
        <v>244.3261</v>
      </c>
      <c r="G63" s="12">
        <v>162.48429999999999</v>
      </c>
      <c r="H63" s="12">
        <v>216.21850000000001</v>
      </c>
      <c r="I63" s="12">
        <v>278.86559999999997</v>
      </c>
      <c r="J63" s="12">
        <v>239.3929</v>
      </c>
      <c r="K63" s="12">
        <v>240.3811</v>
      </c>
      <c r="L63" s="12">
        <v>249.82730000000001</v>
      </c>
      <c r="M63" s="12">
        <v>310.0378</v>
      </c>
      <c r="N63" s="12">
        <v>340.0335</v>
      </c>
      <c r="O63" s="12">
        <v>326.82889999999998</v>
      </c>
    </row>
    <row r="64" spans="1:15" x14ac:dyDescent="0.3">
      <c r="A64" s="25" t="s">
        <v>337</v>
      </c>
      <c r="B64" s="25" t="s">
        <v>377</v>
      </c>
      <c r="C64" s="25" t="s">
        <v>378</v>
      </c>
      <c r="D64" s="25" t="s">
        <v>379</v>
      </c>
      <c r="E64" s="25" t="s">
        <v>144</v>
      </c>
      <c r="F64" s="12">
        <v>244.3261</v>
      </c>
      <c r="G64" s="12">
        <v>162.48429999999999</v>
      </c>
      <c r="H64" s="12">
        <v>216.21850000000001</v>
      </c>
      <c r="I64" s="12">
        <v>278.86559999999997</v>
      </c>
      <c r="J64" s="12">
        <v>239.3929</v>
      </c>
      <c r="K64" s="12">
        <v>240.3811</v>
      </c>
      <c r="L64" s="12">
        <v>249.82730000000001</v>
      </c>
      <c r="M64" s="12">
        <v>310.0378</v>
      </c>
      <c r="N64" s="12">
        <v>340.0335</v>
      </c>
      <c r="O64" s="12">
        <v>326.82889999999998</v>
      </c>
    </row>
    <row r="65" spans="1:15" x14ac:dyDescent="0.3">
      <c r="A65" s="25" t="s">
        <v>337</v>
      </c>
      <c r="B65" s="25" t="s">
        <v>380</v>
      </c>
      <c r="C65" s="25" t="s">
        <v>381</v>
      </c>
      <c r="D65" s="25" t="s">
        <v>382</v>
      </c>
      <c r="E65" s="25" t="s">
        <v>144</v>
      </c>
      <c r="F65" s="12">
        <v>1.3769</v>
      </c>
      <c r="G65" s="12">
        <v>101.36839999999999</v>
      </c>
      <c r="H65" s="12">
        <v>11.0276</v>
      </c>
      <c r="I65" s="12">
        <v>5.3979999999999997</v>
      </c>
      <c r="J65" s="12">
        <v>0.75209999999999999</v>
      </c>
      <c r="K65" s="12">
        <v>10.936400000000001</v>
      </c>
      <c r="L65" s="12">
        <v>1.3631</v>
      </c>
      <c r="M65" s="12">
        <v>17.148599999999998</v>
      </c>
      <c r="N65" s="12">
        <v>23.256699999999999</v>
      </c>
      <c r="O65" s="12">
        <v>3.2201</v>
      </c>
    </row>
    <row r="66" spans="1:15" x14ac:dyDescent="0.3">
      <c r="A66" s="25" t="s">
        <v>337</v>
      </c>
      <c r="B66" s="25" t="s">
        <v>383</v>
      </c>
      <c r="C66" s="25" t="s">
        <v>384</v>
      </c>
      <c r="D66" s="25" t="s">
        <v>385</v>
      </c>
      <c r="E66" s="25" t="s">
        <v>144</v>
      </c>
      <c r="F66" s="12">
        <v>1.37</v>
      </c>
      <c r="G66" s="12">
        <v>1.3723000000000001</v>
      </c>
      <c r="H66" s="12">
        <v>1.5205</v>
      </c>
      <c r="I66" s="12">
        <v>1.7768999999999999</v>
      </c>
      <c r="J66" s="12">
        <v>1.9625999999999999</v>
      </c>
      <c r="K66" s="12">
        <v>2.0556000000000001</v>
      </c>
      <c r="L66" s="12">
        <v>3.5413000000000001</v>
      </c>
      <c r="M66" s="12">
        <v>7.4150999999999998</v>
      </c>
      <c r="N66" s="12">
        <v>3.3963000000000001</v>
      </c>
      <c r="O66" s="12">
        <v>3.5346000000000002</v>
      </c>
    </row>
    <row r="67" spans="1:15" x14ac:dyDescent="0.3">
      <c r="A67" s="25" t="s">
        <v>337</v>
      </c>
      <c r="B67" s="25" t="s">
        <v>386</v>
      </c>
      <c r="C67" s="25" t="s">
        <v>387</v>
      </c>
      <c r="D67" s="25" t="s">
        <v>388</v>
      </c>
      <c r="E67" s="25" t="s">
        <v>144</v>
      </c>
      <c r="F67" s="12">
        <v>12.3436</v>
      </c>
      <c r="G67" s="12">
        <v>9.3876000000000008</v>
      </c>
      <c r="H67" s="12">
        <v>5.7831999999999999</v>
      </c>
      <c r="I67" s="12">
        <v>4.6193</v>
      </c>
      <c r="J67" s="12">
        <v>7.3639999999999999</v>
      </c>
      <c r="K67" s="12">
        <v>9.1892999999999994</v>
      </c>
      <c r="L67" s="12">
        <v>8.2323000000000004</v>
      </c>
      <c r="M67" s="12">
        <v>5.2243000000000004</v>
      </c>
      <c r="N67" s="12">
        <v>21.257999999999999</v>
      </c>
      <c r="O67" s="12">
        <v>1.302</v>
      </c>
    </row>
    <row r="68" spans="1:15" x14ac:dyDescent="0.3">
      <c r="A68" s="25" t="s">
        <v>337</v>
      </c>
      <c r="B68" s="25" t="s">
        <v>389</v>
      </c>
      <c r="C68" s="25" t="s">
        <v>390</v>
      </c>
      <c r="D68" s="25" t="s">
        <v>391</v>
      </c>
      <c r="E68" s="25" t="s">
        <v>144</v>
      </c>
      <c r="F68" s="12">
        <v>-6.2799999999999995E-2</v>
      </c>
      <c r="G68" s="12">
        <v>-6.2799999999999995E-2</v>
      </c>
      <c r="H68" s="12">
        <v>-6.2799999999999995E-2</v>
      </c>
      <c r="I68" s="12">
        <v>-8.7900000000000006E-2</v>
      </c>
      <c r="J68" s="12">
        <v>-8.7900000000000006E-2</v>
      </c>
      <c r="K68" s="12">
        <v>-8.7900000000000006E-2</v>
      </c>
      <c r="L68" s="12">
        <v>-8.7900000000000006E-2</v>
      </c>
      <c r="M68" s="12">
        <v>-0.12559999999999999</v>
      </c>
      <c r="N68" s="12">
        <v>-0.12559999999999999</v>
      </c>
      <c r="O68" s="12">
        <v>-0.12559999999999999</v>
      </c>
    </row>
    <row r="69" spans="1:15" x14ac:dyDescent="0.3">
      <c r="A69" s="11" t="s">
        <v>337</v>
      </c>
      <c r="B69" s="11" t="s">
        <v>392</v>
      </c>
      <c r="C69" s="11" t="s">
        <v>393</v>
      </c>
      <c r="D69" s="11" t="s">
        <v>394</v>
      </c>
      <c r="E69" s="11" t="s">
        <v>144</v>
      </c>
      <c r="F69" s="12">
        <v>8.1092999999999993</v>
      </c>
      <c r="G69" s="12">
        <v>5.6013000000000002</v>
      </c>
      <c r="H69" s="12">
        <v>8.7004999999999999</v>
      </c>
      <c r="I69" s="12">
        <v>6.5080999999999998</v>
      </c>
      <c r="J69" s="12">
        <v>8.8742000000000001</v>
      </c>
      <c r="K69" s="12">
        <v>7.5511999999999997</v>
      </c>
      <c r="L69" s="12">
        <v>9.4959000000000007</v>
      </c>
      <c r="M69" s="12">
        <v>10.254099999999999</v>
      </c>
      <c r="N69" s="12">
        <v>10.971</v>
      </c>
      <c r="O69" s="12">
        <v>287.2518</v>
      </c>
    </row>
    <row r="70" spans="1:15" x14ac:dyDescent="0.3">
      <c r="A70" s="25" t="s">
        <v>337</v>
      </c>
      <c r="B70" s="25" t="s">
        <v>395</v>
      </c>
      <c r="C70" s="25" t="s">
        <v>396</v>
      </c>
      <c r="D70" s="25" t="s">
        <v>397</v>
      </c>
      <c r="E70" s="25" t="s">
        <v>144</v>
      </c>
      <c r="F70" s="12">
        <v>2.6175000000000002</v>
      </c>
      <c r="G70" s="12">
        <v>1.7596000000000001</v>
      </c>
      <c r="H70" s="12">
        <v>3.1924999999999999</v>
      </c>
      <c r="I70" s="12">
        <v>1.7868999999999999</v>
      </c>
      <c r="J70" s="12">
        <v>2.8595999999999999</v>
      </c>
      <c r="K70" s="12">
        <v>2.8359000000000001</v>
      </c>
      <c r="L70" s="12">
        <v>4.1060999999999996</v>
      </c>
      <c r="M70" s="12">
        <v>3.2856000000000001</v>
      </c>
      <c r="N70" s="12">
        <v>5.3583999999999996</v>
      </c>
      <c r="O70" s="12">
        <v>5.8289999999999997</v>
      </c>
    </row>
    <row r="71" spans="1:15" x14ac:dyDescent="0.3">
      <c r="A71" s="25" t="s">
        <v>337</v>
      </c>
      <c r="B71" s="25" t="s">
        <v>398</v>
      </c>
      <c r="C71" s="25" t="s">
        <v>399</v>
      </c>
      <c r="D71" s="25" t="s">
        <v>400</v>
      </c>
      <c r="E71" s="25" t="s">
        <v>144</v>
      </c>
      <c r="F71" s="12">
        <v>0</v>
      </c>
      <c r="G71" s="12">
        <v>0</v>
      </c>
      <c r="H71" s="12">
        <v>0</v>
      </c>
      <c r="I71" s="12">
        <v>0</v>
      </c>
      <c r="J71" s="12">
        <v>0</v>
      </c>
      <c r="K71" s="12">
        <v>0</v>
      </c>
      <c r="L71" s="12">
        <v>0</v>
      </c>
      <c r="M71" s="12">
        <v>6.9000000000000006E-2</v>
      </c>
      <c r="N71" s="12">
        <v>4.36E-2</v>
      </c>
      <c r="O71" s="12">
        <v>6.6600000000000006E-2</v>
      </c>
    </row>
    <row r="72" spans="1:15" x14ac:dyDescent="0.3">
      <c r="A72" s="25" t="s">
        <v>337</v>
      </c>
      <c r="B72" s="25" t="s">
        <v>401</v>
      </c>
      <c r="C72" s="25" t="s">
        <v>402</v>
      </c>
      <c r="D72" s="25" t="s">
        <v>403</v>
      </c>
      <c r="E72" s="25" t="s">
        <v>144</v>
      </c>
      <c r="F72" s="12">
        <v>5.4648000000000003</v>
      </c>
      <c r="G72" s="12">
        <v>3.7486999999999999</v>
      </c>
      <c r="H72" s="12">
        <v>5.3971</v>
      </c>
      <c r="I72" s="12">
        <v>4.6102999999999996</v>
      </c>
      <c r="J72" s="12">
        <v>5.8238000000000003</v>
      </c>
      <c r="K72" s="12">
        <v>4.5164</v>
      </c>
      <c r="L72" s="12">
        <v>5.1909000000000001</v>
      </c>
      <c r="M72" s="12">
        <v>6.6605999999999996</v>
      </c>
      <c r="N72" s="12">
        <v>5.3216999999999999</v>
      </c>
      <c r="O72" s="12">
        <v>6.109</v>
      </c>
    </row>
    <row r="73" spans="1:15" x14ac:dyDescent="0.3">
      <c r="A73" s="25" t="s">
        <v>337</v>
      </c>
      <c r="B73" s="25" t="s">
        <v>404</v>
      </c>
      <c r="C73" s="25" t="s">
        <v>405</v>
      </c>
      <c r="D73" s="25" t="s">
        <v>406</v>
      </c>
      <c r="E73" s="25" t="s">
        <v>144</v>
      </c>
      <c r="F73" s="12">
        <v>2.7E-2</v>
      </c>
      <c r="G73" s="12">
        <v>9.2999999999999999E-2</v>
      </c>
      <c r="H73" s="12">
        <v>0.1109</v>
      </c>
      <c r="I73" s="12">
        <v>0.1109</v>
      </c>
      <c r="J73" s="12">
        <v>0.19089999999999999</v>
      </c>
      <c r="K73" s="12">
        <v>0.19889999999999999</v>
      </c>
      <c r="L73" s="12">
        <v>0.19889999999999999</v>
      </c>
      <c r="M73" s="12">
        <v>0.2389</v>
      </c>
      <c r="N73" s="12">
        <v>0.24729999999999999</v>
      </c>
      <c r="O73" s="12">
        <v>275.2473</v>
      </c>
    </row>
    <row r="74" spans="1:15" x14ac:dyDescent="0.3">
      <c r="A74" s="11" t="s">
        <v>337</v>
      </c>
      <c r="B74" s="11" t="s">
        <v>407</v>
      </c>
      <c r="C74" s="11" t="s">
        <v>408</v>
      </c>
      <c r="D74" s="11" t="s">
        <v>409</v>
      </c>
      <c r="E74" s="11" t="s">
        <v>144</v>
      </c>
      <c r="F74" s="12">
        <v>1380.4190000000001</v>
      </c>
      <c r="G74" s="12">
        <v>2374.9535999999998</v>
      </c>
      <c r="H74" s="12">
        <v>2597.6107999999999</v>
      </c>
      <c r="I74" s="12">
        <v>2465.2087000000001</v>
      </c>
      <c r="J74" s="12">
        <v>2018.9474</v>
      </c>
      <c r="K74" s="12">
        <v>1900.6487</v>
      </c>
      <c r="L74" s="12">
        <v>2728.9373000000001</v>
      </c>
      <c r="M74" s="12">
        <v>1853.3903</v>
      </c>
      <c r="N74" s="12">
        <v>2346.2829000000002</v>
      </c>
      <c r="O74" s="12">
        <v>1254.2637999999999</v>
      </c>
    </row>
    <row r="75" spans="1:15" x14ac:dyDescent="0.3">
      <c r="A75" s="11" t="s">
        <v>337</v>
      </c>
      <c r="B75" s="11" t="s">
        <v>410</v>
      </c>
      <c r="C75" s="11" t="s">
        <v>411</v>
      </c>
      <c r="D75" s="11" t="s">
        <v>412</v>
      </c>
      <c r="E75" s="11" t="s">
        <v>144</v>
      </c>
      <c r="F75" s="12">
        <v>1264.7184</v>
      </c>
      <c r="G75" s="12">
        <v>2261.4425000000001</v>
      </c>
      <c r="H75" s="12">
        <v>2467.4425000000001</v>
      </c>
      <c r="I75" s="12">
        <v>2328.6064000000001</v>
      </c>
      <c r="J75" s="12">
        <v>1879.5328</v>
      </c>
      <c r="K75" s="12">
        <v>1771.4699000000001</v>
      </c>
      <c r="L75" s="12">
        <v>2576.0232000000001</v>
      </c>
      <c r="M75" s="12">
        <v>1704.7362000000001</v>
      </c>
      <c r="N75" s="12">
        <v>2204.7361999999998</v>
      </c>
      <c r="O75" s="12">
        <v>1054.8362</v>
      </c>
    </row>
    <row r="76" spans="1:15" x14ac:dyDescent="0.3">
      <c r="A76" s="25" t="s">
        <v>337</v>
      </c>
      <c r="B76" s="25" t="s">
        <v>413</v>
      </c>
      <c r="C76" s="25" t="s">
        <v>414</v>
      </c>
      <c r="D76" s="25" t="s">
        <v>415</v>
      </c>
      <c r="E76" s="25" t="s">
        <v>144</v>
      </c>
      <c r="F76" s="12">
        <v>1264.7184</v>
      </c>
      <c r="G76" s="12">
        <v>2261.4425000000001</v>
      </c>
      <c r="H76" s="12">
        <v>2467.4425000000001</v>
      </c>
      <c r="I76" s="12">
        <v>2328.6064000000001</v>
      </c>
      <c r="J76" s="12">
        <v>1879.5328</v>
      </c>
      <c r="K76" s="12">
        <v>1771.4699000000001</v>
      </c>
      <c r="L76" s="12">
        <v>2576.0232000000001</v>
      </c>
      <c r="M76" s="12">
        <v>1704.7362000000001</v>
      </c>
      <c r="N76" s="12">
        <v>2204.7361999999998</v>
      </c>
      <c r="O76" s="12">
        <v>1054.8362</v>
      </c>
    </row>
    <row r="77" spans="1:15" x14ac:dyDescent="0.3">
      <c r="A77" s="11" t="s">
        <v>337</v>
      </c>
      <c r="B77" s="11" t="s">
        <v>416</v>
      </c>
      <c r="C77" s="11" t="s">
        <v>417</v>
      </c>
      <c r="D77" s="11" t="s">
        <v>418</v>
      </c>
      <c r="E77" s="11" t="s">
        <v>144</v>
      </c>
      <c r="F77" s="12">
        <v>79.260599999999997</v>
      </c>
      <c r="G77" s="12">
        <v>76.598100000000002</v>
      </c>
      <c r="H77" s="12">
        <v>93.088499999999996</v>
      </c>
      <c r="I77" s="12">
        <v>96.209699999999998</v>
      </c>
      <c r="J77" s="12">
        <v>97.129900000000006</v>
      </c>
      <c r="K77" s="12">
        <v>89.767700000000005</v>
      </c>
      <c r="L77" s="12">
        <v>111.53789999999999</v>
      </c>
      <c r="M77" s="12">
        <v>105.80110000000001</v>
      </c>
      <c r="N77" s="12">
        <v>96.758799999999994</v>
      </c>
      <c r="O77" s="12">
        <v>152.04349999999999</v>
      </c>
    </row>
    <row r="78" spans="1:15" x14ac:dyDescent="0.3">
      <c r="A78" s="25" t="s">
        <v>337</v>
      </c>
      <c r="B78" s="25" t="s">
        <v>419</v>
      </c>
      <c r="C78" s="25" t="s">
        <v>420</v>
      </c>
      <c r="D78" s="25" t="s">
        <v>421</v>
      </c>
      <c r="E78" s="25" t="s">
        <v>144</v>
      </c>
      <c r="F78" s="12">
        <v>11.485799999999999</v>
      </c>
      <c r="G78" s="12">
        <v>11.623100000000001</v>
      </c>
      <c r="H78" s="12">
        <v>13.814299999999999</v>
      </c>
      <c r="I78" s="12">
        <v>11.829000000000001</v>
      </c>
      <c r="J78" s="12">
        <v>10.7963</v>
      </c>
      <c r="K78" s="12">
        <v>9.7685999999999993</v>
      </c>
      <c r="L78" s="12">
        <v>9.6325000000000003</v>
      </c>
      <c r="M78" s="12">
        <v>12.306699999999999</v>
      </c>
      <c r="N78" s="12">
        <v>11.5671</v>
      </c>
      <c r="O78" s="12">
        <v>14.0817</v>
      </c>
    </row>
    <row r="79" spans="1:15" x14ac:dyDescent="0.3">
      <c r="A79" s="25" t="s">
        <v>337</v>
      </c>
      <c r="B79" s="25" t="s">
        <v>422</v>
      </c>
      <c r="C79" s="25" t="s">
        <v>423</v>
      </c>
      <c r="D79" s="25" t="s">
        <v>424</v>
      </c>
      <c r="E79" s="25" t="s">
        <v>144</v>
      </c>
      <c r="F79" s="12">
        <v>19.724299999999999</v>
      </c>
      <c r="G79" s="12">
        <v>20.916799999999999</v>
      </c>
      <c r="H79" s="12">
        <v>24.267700000000001</v>
      </c>
      <c r="I79" s="12">
        <v>23.334900000000001</v>
      </c>
      <c r="J79" s="12">
        <v>23.585899999999999</v>
      </c>
      <c r="K79" s="12">
        <v>23.869399999999999</v>
      </c>
      <c r="L79" s="12">
        <v>24.940200000000001</v>
      </c>
      <c r="M79" s="12">
        <v>28.9</v>
      </c>
      <c r="N79" s="12">
        <v>29.591899999999999</v>
      </c>
      <c r="O79" s="12">
        <v>37.401200000000003</v>
      </c>
    </row>
    <row r="80" spans="1:15" x14ac:dyDescent="0.3">
      <c r="A80" s="25" t="s">
        <v>337</v>
      </c>
      <c r="B80" s="25" t="s">
        <v>425</v>
      </c>
      <c r="C80" s="25" t="s">
        <v>426</v>
      </c>
      <c r="D80" s="25" t="s">
        <v>427</v>
      </c>
      <c r="E80" s="25" t="s">
        <v>144</v>
      </c>
      <c r="F80" s="12">
        <v>-8.2385000000000002</v>
      </c>
      <c r="G80" s="12">
        <v>-9.2936999999999994</v>
      </c>
      <c r="H80" s="12">
        <v>-10.4534</v>
      </c>
      <c r="I80" s="12">
        <v>-11.505800000000001</v>
      </c>
      <c r="J80" s="12">
        <v>-12.7897</v>
      </c>
      <c r="K80" s="12">
        <v>-14.1008</v>
      </c>
      <c r="L80" s="12">
        <v>-15.307700000000001</v>
      </c>
      <c r="M80" s="12">
        <v>-16.593299999999999</v>
      </c>
      <c r="N80" s="12">
        <v>-18.024899999999999</v>
      </c>
      <c r="O80" s="12">
        <v>-23.319500000000001</v>
      </c>
    </row>
    <row r="81" spans="1:15" x14ac:dyDescent="0.3">
      <c r="A81" s="25" t="s">
        <v>337</v>
      </c>
      <c r="B81" s="25" t="s">
        <v>428</v>
      </c>
      <c r="C81" s="25" t="s">
        <v>429</v>
      </c>
      <c r="D81" s="25" t="s">
        <v>430</v>
      </c>
      <c r="E81" s="25" t="s">
        <v>144</v>
      </c>
      <c r="F81" s="12">
        <v>18.8352</v>
      </c>
      <c r="G81" s="12">
        <v>17.785599999999999</v>
      </c>
      <c r="H81" s="12">
        <v>35.3932</v>
      </c>
      <c r="I81" s="12">
        <v>44.713500000000003</v>
      </c>
      <c r="J81" s="12">
        <v>50.6907</v>
      </c>
      <c r="K81" s="12">
        <v>47.663800000000002</v>
      </c>
      <c r="L81" s="12">
        <v>73.116699999999994</v>
      </c>
      <c r="M81" s="12">
        <v>68.620099999999994</v>
      </c>
      <c r="N81" s="12">
        <v>64.123400000000004</v>
      </c>
      <c r="O81" s="12">
        <v>120.9609</v>
      </c>
    </row>
    <row r="82" spans="1:15" x14ac:dyDescent="0.3">
      <c r="A82" s="25" t="s">
        <v>337</v>
      </c>
      <c r="B82" s="25" t="s">
        <v>431</v>
      </c>
      <c r="C82" s="25" t="s">
        <v>432</v>
      </c>
      <c r="D82" s="25" t="s">
        <v>424</v>
      </c>
      <c r="E82" s="25" t="s">
        <v>144</v>
      </c>
      <c r="F82" s="12">
        <v>20.991800000000001</v>
      </c>
      <c r="G82" s="12">
        <v>20.991800000000001</v>
      </c>
      <c r="H82" s="12">
        <v>39.911799999999999</v>
      </c>
      <c r="I82" s="12">
        <v>51.823300000000003</v>
      </c>
      <c r="J82" s="12">
        <v>60.536900000000003</v>
      </c>
      <c r="K82" s="12">
        <v>60.536900000000003</v>
      </c>
      <c r="L82" s="12">
        <v>89.933300000000003</v>
      </c>
      <c r="M82" s="12">
        <v>89.933300000000003</v>
      </c>
      <c r="N82" s="12">
        <v>89.933300000000003</v>
      </c>
      <c r="O82" s="12">
        <v>149.82910000000001</v>
      </c>
    </row>
    <row r="83" spans="1:15" x14ac:dyDescent="0.3">
      <c r="A83" s="25" t="s">
        <v>337</v>
      </c>
      <c r="B83" s="25" t="s">
        <v>433</v>
      </c>
      <c r="C83" s="25" t="s">
        <v>434</v>
      </c>
      <c r="D83" s="25" t="s">
        <v>427</v>
      </c>
      <c r="E83" s="25" t="s">
        <v>144</v>
      </c>
      <c r="F83" s="12">
        <v>-2.1566999999999998</v>
      </c>
      <c r="G83" s="12">
        <v>-3.2063000000000001</v>
      </c>
      <c r="H83" s="12">
        <v>-4.5186000000000002</v>
      </c>
      <c r="I83" s="12">
        <v>-7.1097999999999999</v>
      </c>
      <c r="J83" s="12">
        <v>-9.8461999999999996</v>
      </c>
      <c r="K83" s="12">
        <v>-12.872999999999999</v>
      </c>
      <c r="L83" s="12">
        <v>-16.816500000000001</v>
      </c>
      <c r="M83" s="12">
        <v>-21.313199999999998</v>
      </c>
      <c r="N83" s="12">
        <v>-25.809899999999999</v>
      </c>
      <c r="O83" s="12">
        <v>-28.868200000000002</v>
      </c>
    </row>
    <row r="84" spans="1:15" x14ac:dyDescent="0.3">
      <c r="A84" s="25" t="s">
        <v>337</v>
      </c>
      <c r="B84" s="25" t="s">
        <v>435</v>
      </c>
      <c r="C84" s="25" t="s">
        <v>436</v>
      </c>
      <c r="D84" s="25" t="s">
        <v>437</v>
      </c>
      <c r="E84" s="25" t="s">
        <v>144</v>
      </c>
      <c r="F84" s="12">
        <v>48.939700000000002</v>
      </c>
      <c r="G84" s="12">
        <v>47.189399999999999</v>
      </c>
      <c r="H84" s="12">
        <v>43.881</v>
      </c>
      <c r="I84" s="12">
        <v>39.667099999999998</v>
      </c>
      <c r="J84" s="12">
        <v>35.643000000000001</v>
      </c>
      <c r="K84" s="12">
        <v>32.3352</v>
      </c>
      <c r="L84" s="12">
        <v>28.788599999999999</v>
      </c>
      <c r="M84" s="12">
        <v>24.874400000000001</v>
      </c>
      <c r="N84" s="12">
        <v>21.068300000000001</v>
      </c>
      <c r="O84" s="12">
        <v>17.000900000000001</v>
      </c>
    </row>
    <row r="85" spans="1:15" x14ac:dyDescent="0.3">
      <c r="A85" s="25" t="s">
        <v>337</v>
      </c>
      <c r="B85" s="25" t="s">
        <v>438</v>
      </c>
      <c r="C85" s="25" t="s">
        <v>439</v>
      </c>
      <c r="D85" s="25" t="s">
        <v>424</v>
      </c>
      <c r="E85" s="25" t="s">
        <v>144</v>
      </c>
      <c r="F85" s="12">
        <v>74.850899999999996</v>
      </c>
      <c r="G85" s="12">
        <v>76.835599999999999</v>
      </c>
      <c r="H85" s="12">
        <v>77.498599999999996</v>
      </c>
      <c r="I85" s="12">
        <v>77.273600000000002</v>
      </c>
      <c r="J85" s="12">
        <v>77.273600000000002</v>
      </c>
      <c r="K85" s="12">
        <v>78.007800000000003</v>
      </c>
      <c r="L85" s="12">
        <v>78.543400000000005</v>
      </c>
      <c r="M85" s="12">
        <v>78.603700000000003</v>
      </c>
      <c r="N85" s="12">
        <v>78.832300000000004</v>
      </c>
      <c r="O85" s="12">
        <v>78.916300000000007</v>
      </c>
    </row>
    <row r="86" spans="1:15" x14ac:dyDescent="0.3">
      <c r="A86" s="25" t="s">
        <v>337</v>
      </c>
      <c r="B86" s="25" t="s">
        <v>440</v>
      </c>
      <c r="C86" s="25" t="s">
        <v>441</v>
      </c>
      <c r="D86" s="25" t="s">
        <v>427</v>
      </c>
      <c r="E86" s="25" t="s">
        <v>144</v>
      </c>
      <c r="F86" s="12">
        <v>-25.911200000000001</v>
      </c>
      <c r="G86" s="12">
        <v>-29.6462</v>
      </c>
      <c r="H86" s="12">
        <v>-33.617699999999999</v>
      </c>
      <c r="I86" s="12">
        <v>-37.606499999999997</v>
      </c>
      <c r="J86" s="12">
        <v>-41.630699999999997</v>
      </c>
      <c r="K86" s="12">
        <v>-45.672499999999999</v>
      </c>
      <c r="L86" s="12">
        <v>-49.754800000000003</v>
      </c>
      <c r="M86" s="12">
        <v>-53.729300000000002</v>
      </c>
      <c r="N86" s="12">
        <v>-57.764000000000003</v>
      </c>
      <c r="O86" s="12">
        <v>-61.915300000000002</v>
      </c>
    </row>
    <row r="87" spans="1:15" x14ac:dyDescent="0.3">
      <c r="A87" s="11" t="s">
        <v>337</v>
      </c>
      <c r="B87" s="11" t="s">
        <v>442</v>
      </c>
      <c r="C87" s="11" t="s">
        <v>443</v>
      </c>
      <c r="D87" s="11" t="s">
        <v>444</v>
      </c>
      <c r="E87" s="11" t="s">
        <v>144</v>
      </c>
      <c r="F87" s="12">
        <v>0</v>
      </c>
      <c r="G87" s="12">
        <v>0</v>
      </c>
      <c r="H87" s="12">
        <v>0</v>
      </c>
      <c r="I87" s="12">
        <v>0.51200000000000001</v>
      </c>
      <c r="J87" s="12">
        <v>0.51200000000000001</v>
      </c>
      <c r="K87" s="12">
        <v>0</v>
      </c>
      <c r="L87" s="12">
        <v>0</v>
      </c>
      <c r="M87" s="12">
        <v>0</v>
      </c>
      <c r="N87" s="12">
        <v>0</v>
      </c>
      <c r="O87" s="12">
        <v>0</v>
      </c>
    </row>
    <row r="88" spans="1:15" x14ac:dyDescent="0.3">
      <c r="A88" s="25" t="s">
        <v>337</v>
      </c>
      <c r="B88" s="25" t="s">
        <v>445</v>
      </c>
      <c r="C88" s="25" t="s">
        <v>446</v>
      </c>
      <c r="D88" s="25" t="s">
        <v>447</v>
      </c>
      <c r="E88" s="25" t="s">
        <v>144</v>
      </c>
      <c r="F88" s="12">
        <v>0</v>
      </c>
      <c r="G88" s="12">
        <v>0</v>
      </c>
      <c r="H88" s="12">
        <v>0</v>
      </c>
      <c r="I88" s="12">
        <v>0.51200000000000001</v>
      </c>
      <c r="J88" s="12">
        <v>0.51200000000000001</v>
      </c>
      <c r="K88" s="12">
        <v>0</v>
      </c>
      <c r="L88" s="12">
        <v>0</v>
      </c>
      <c r="M88" s="12">
        <v>0</v>
      </c>
      <c r="N88" s="12">
        <v>0</v>
      </c>
      <c r="O88" s="12">
        <v>0</v>
      </c>
    </row>
    <row r="89" spans="1:15" x14ac:dyDescent="0.3">
      <c r="A89" s="11" t="s">
        <v>337</v>
      </c>
      <c r="B89" s="11" t="s">
        <v>448</v>
      </c>
      <c r="C89" s="11" t="s">
        <v>449</v>
      </c>
      <c r="D89" s="11" t="s">
        <v>450</v>
      </c>
      <c r="E89" s="11" t="s">
        <v>144</v>
      </c>
      <c r="F89" s="12">
        <v>36.44</v>
      </c>
      <c r="G89" s="12">
        <v>36.912999999999997</v>
      </c>
      <c r="H89" s="12">
        <v>37.079799999999999</v>
      </c>
      <c r="I89" s="12">
        <v>39.880600000000001</v>
      </c>
      <c r="J89" s="12">
        <v>41.7727</v>
      </c>
      <c r="K89" s="12">
        <v>39.411099999999998</v>
      </c>
      <c r="L89" s="12">
        <v>41.376199999999997</v>
      </c>
      <c r="M89" s="12">
        <v>42.853000000000002</v>
      </c>
      <c r="N89" s="12">
        <v>44.7879</v>
      </c>
      <c r="O89" s="12">
        <v>47.384099999999997</v>
      </c>
    </row>
    <row r="90" spans="1:15" x14ac:dyDescent="0.3">
      <c r="A90" s="25" t="s">
        <v>337</v>
      </c>
      <c r="B90" s="25" t="s">
        <v>451</v>
      </c>
      <c r="C90" s="25" t="s">
        <v>452</v>
      </c>
      <c r="D90" s="25" t="s">
        <v>453</v>
      </c>
      <c r="E90" s="25" t="s">
        <v>144</v>
      </c>
      <c r="F90" s="12">
        <v>3.6453000000000002</v>
      </c>
      <c r="G90" s="12">
        <v>3.6453000000000002</v>
      </c>
      <c r="H90" s="12">
        <v>4.5701999999999998</v>
      </c>
      <c r="I90" s="12">
        <v>4.5701999999999998</v>
      </c>
      <c r="J90" s="12">
        <v>4.8464999999999998</v>
      </c>
      <c r="K90" s="12">
        <v>4.8464999999999998</v>
      </c>
      <c r="L90" s="12">
        <v>7.7861000000000002</v>
      </c>
      <c r="M90" s="12">
        <v>7.7861000000000002</v>
      </c>
      <c r="N90" s="12">
        <v>7.9729000000000001</v>
      </c>
      <c r="O90" s="12">
        <v>9.8747000000000007</v>
      </c>
    </row>
    <row r="91" spans="1:15" x14ac:dyDescent="0.3">
      <c r="A91" s="25" t="s">
        <v>337</v>
      </c>
      <c r="B91" s="25" t="s">
        <v>454</v>
      </c>
      <c r="C91" s="25" t="s">
        <v>455</v>
      </c>
      <c r="D91" s="25" t="s">
        <v>456</v>
      </c>
      <c r="E91" s="25" t="s">
        <v>144</v>
      </c>
      <c r="F91" s="12">
        <v>7.1238000000000001</v>
      </c>
      <c r="G91" s="12">
        <v>7.5918000000000001</v>
      </c>
      <c r="H91" s="12">
        <v>6.8287000000000004</v>
      </c>
      <c r="I91" s="12">
        <v>8.6974999999999998</v>
      </c>
      <c r="J91" s="12">
        <v>8.7353000000000005</v>
      </c>
      <c r="K91" s="12">
        <v>6.3686999999999996</v>
      </c>
      <c r="L91" s="12">
        <v>5.3891999999999998</v>
      </c>
      <c r="M91" s="12">
        <v>6.09</v>
      </c>
      <c r="N91" s="12">
        <v>6.7568999999999999</v>
      </c>
      <c r="O91" s="12">
        <v>7.4447000000000001</v>
      </c>
    </row>
    <row r="92" spans="1:15" x14ac:dyDescent="0.3">
      <c r="A92" s="25" t="s">
        <v>337</v>
      </c>
      <c r="B92" s="25" t="s">
        <v>457</v>
      </c>
      <c r="C92" s="25" t="s">
        <v>458</v>
      </c>
      <c r="D92" s="25" t="s">
        <v>459</v>
      </c>
      <c r="E92" s="25" t="s">
        <v>144</v>
      </c>
      <c r="F92" s="12">
        <v>15.651300000000001</v>
      </c>
      <c r="G92" s="12">
        <v>15.651300000000001</v>
      </c>
      <c r="H92" s="12">
        <v>15.651300000000001</v>
      </c>
      <c r="I92" s="12">
        <v>16.576599999999999</v>
      </c>
      <c r="J92" s="12">
        <v>18.151299999999999</v>
      </c>
      <c r="K92" s="12">
        <v>18.151299999999999</v>
      </c>
      <c r="L92" s="12">
        <v>18.151299999999999</v>
      </c>
      <c r="M92" s="12">
        <v>18.9206</v>
      </c>
      <c r="N92" s="12">
        <v>20</v>
      </c>
      <c r="O92" s="12">
        <v>20</v>
      </c>
    </row>
    <row r="93" spans="1:15" x14ac:dyDescent="0.3">
      <c r="A93" s="25" t="s">
        <v>337</v>
      </c>
      <c r="B93" s="25" t="s">
        <v>460</v>
      </c>
      <c r="C93" s="25" t="s">
        <v>461</v>
      </c>
      <c r="D93" s="25" t="s">
        <v>462</v>
      </c>
      <c r="E93" s="25" t="s">
        <v>144</v>
      </c>
      <c r="F93" s="12">
        <v>10.019600000000001</v>
      </c>
      <c r="G93" s="12">
        <v>10.0246</v>
      </c>
      <c r="H93" s="12">
        <v>10.0296</v>
      </c>
      <c r="I93" s="12">
        <v>10.036300000000001</v>
      </c>
      <c r="J93" s="12">
        <v>10.0397</v>
      </c>
      <c r="K93" s="12">
        <v>10.044600000000001</v>
      </c>
      <c r="L93" s="12">
        <v>10.0496</v>
      </c>
      <c r="M93" s="12">
        <v>10.0563</v>
      </c>
      <c r="N93" s="12">
        <v>10.0581</v>
      </c>
      <c r="O93" s="12">
        <v>10.0646</v>
      </c>
    </row>
    <row r="94" spans="1:15" x14ac:dyDescent="0.3">
      <c r="A94" s="11" t="s">
        <v>337</v>
      </c>
      <c r="B94" s="11" t="s">
        <v>463</v>
      </c>
      <c r="C94" s="11" t="s">
        <v>464</v>
      </c>
      <c r="D94" s="11" t="s">
        <v>465</v>
      </c>
      <c r="E94" s="11" t="s">
        <v>144</v>
      </c>
      <c r="F94" s="12">
        <v>9234.7523999999994</v>
      </c>
      <c r="G94" s="12">
        <v>8902.3428000000004</v>
      </c>
      <c r="H94" s="12">
        <v>10383.8521</v>
      </c>
      <c r="I94" s="12">
        <v>10637.2521</v>
      </c>
      <c r="J94" s="12">
        <v>11156.2384</v>
      </c>
      <c r="K94" s="12">
        <v>11920.0047</v>
      </c>
      <c r="L94" s="12">
        <v>14009.370800000001</v>
      </c>
      <c r="M94" s="12">
        <v>15139.226699999999</v>
      </c>
      <c r="N94" s="12">
        <v>15559.097299999999</v>
      </c>
      <c r="O94" s="12">
        <v>15207.602000000001</v>
      </c>
    </row>
    <row r="95" spans="1:15" x14ac:dyDescent="0.3">
      <c r="A95" s="11" t="s">
        <v>337</v>
      </c>
      <c r="B95" s="11" t="s">
        <v>466</v>
      </c>
      <c r="C95" s="11" t="s">
        <v>467</v>
      </c>
      <c r="D95" s="11" t="s">
        <v>468</v>
      </c>
      <c r="E95" s="11" t="s">
        <v>144</v>
      </c>
      <c r="F95" s="12">
        <v>4986.5751</v>
      </c>
      <c r="G95" s="12">
        <v>4785.0036</v>
      </c>
      <c r="H95" s="12">
        <v>6222.1392999999998</v>
      </c>
      <c r="I95" s="12">
        <v>6607.4519</v>
      </c>
      <c r="J95" s="12">
        <v>7073.3419000000004</v>
      </c>
      <c r="K95" s="12">
        <v>7763.7542999999996</v>
      </c>
      <c r="L95" s="12">
        <v>9716.3132999999998</v>
      </c>
      <c r="M95" s="12">
        <v>10836.8969</v>
      </c>
      <c r="N95" s="12">
        <v>10200.6517</v>
      </c>
      <c r="O95" s="12">
        <v>9767.3556000000008</v>
      </c>
    </row>
    <row r="96" spans="1:15" x14ac:dyDescent="0.3">
      <c r="A96" s="11" t="s">
        <v>337</v>
      </c>
      <c r="B96" s="11" t="s">
        <v>469</v>
      </c>
      <c r="C96" s="11" t="s">
        <v>470</v>
      </c>
      <c r="D96" s="11" t="s">
        <v>471</v>
      </c>
      <c r="E96" s="11" t="s">
        <v>144</v>
      </c>
      <c r="F96" s="12">
        <v>4972.8725999999997</v>
      </c>
      <c r="G96" s="12">
        <v>4773.2610000000004</v>
      </c>
      <c r="H96" s="12">
        <v>6191.2759999999998</v>
      </c>
      <c r="I96" s="12">
        <v>6589.0496999999996</v>
      </c>
      <c r="J96" s="12">
        <v>6753.2358000000004</v>
      </c>
      <c r="K96" s="12">
        <v>7445.8262000000004</v>
      </c>
      <c r="L96" s="12">
        <v>9379.3574000000008</v>
      </c>
      <c r="M96" s="12">
        <v>9511.8695000000007</v>
      </c>
      <c r="N96" s="12">
        <v>8879.0938999999998</v>
      </c>
      <c r="O96" s="12">
        <v>8708.7800999999999</v>
      </c>
    </row>
    <row r="97" spans="1:15" x14ac:dyDescent="0.3">
      <c r="A97" s="25" t="s">
        <v>337</v>
      </c>
      <c r="B97" s="25" t="s">
        <v>472</v>
      </c>
      <c r="C97" s="25" t="s">
        <v>473</v>
      </c>
      <c r="D97" s="25" t="s">
        <v>474</v>
      </c>
      <c r="E97" s="25" t="s">
        <v>144</v>
      </c>
      <c r="F97" s="12">
        <v>4906.0604999999996</v>
      </c>
      <c r="G97" s="12">
        <v>4699.0610999999999</v>
      </c>
      <c r="H97" s="12">
        <v>6124.9798000000001</v>
      </c>
      <c r="I97" s="12">
        <v>6505.9295000000002</v>
      </c>
      <c r="J97" s="12">
        <v>6664.9849000000004</v>
      </c>
      <c r="K97" s="12">
        <v>7339.2403000000004</v>
      </c>
      <c r="L97" s="12">
        <v>9218.1939999999995</v>
      </c>
      <c r="M97" s="12">
        <v>9321.8212000000003</v>
      </c>
      <c r="N97" s="12">
        <v>8696.4344999999994</v>
      </c>
      <c r="O97" s="12">
        <v>8175.0316999999995</v>
      </c>
    </row>
    <row r="98" spans="1:15" x14ac:dyDescent="0.3">
      <c r="A98" s="25" t="s">
        <v>337</v>
      </c>
      <c r="B98" s="25" t="s">
        <v>475</v>
      </c>
      <c r="C98" s="25" t="s">
        <v>476</v>
      </c>
      <c r="D98" s="25" t="s">
        <v>477</v>
      </c>
      <c r="E98" s="25" t="s">
        <v>144</v>
      </c>
      <c r="F98" s="12">
        <v>4906.0604999999996</v>
      </c>
      <c r="G98" s="12">
        <v>4699.0610999999999</v>
      </c>
      <c r="H98" s="12">
        <v>6124.9798000000001</v>
      </c>
      <c r="I98" s="12">
        <v>6494.2972</v>
      </c>
      <c r="J98" s="12">
        <v>6649.8828999999996</v>
      </c>
      <c r="K98" s="12">
        <v>7324.3701000000001</v>
      </c>
      <c r="L98" s="12">
        <v>9197.9832999999999</v>
      </c>
      <c r="M98" s="12">
        <v>9302.1722000000009</v>
      </c>
      <c r="N98" s="12">
        <v>8678.1874000000007</v>
      </c>
      <c r="O98" s="12">
        <v>8147.5928999999996</v>
      </c>
    </row>
    <row r="99" spans="1:15" x14ac:dyDescent="0.3">
      <c r="A99" s="25" t="s">
        <v>337</v>
      </c>
      <c r="B99" s="25" t="s">
        <v>478</v>
      </c>
      <c r="C99" s="25" t="s">
        <v>479</v>
      </c>
      <c r="D99" s="25" t="s">
        <v>480</v>
      </c>
      <c r="E99" s="25" t="s">
        <v>144</v>
      </c>
      <c r="F99" s="12">
        <v>0</v>
      </c>
      <c r="G99" s="12">
        <v>0</v>
      </c>
      <c r="H99" s="12">
        <v>0</v>
      </c>
      <c r="I99" s="12">
        <v>11.632300000000001</v>
      </c>
      <c r="J99" s="12">
        <v>15.1021</v>
      </c>
      <c r="K99" s="12">
        <v>14.870200000000001</v>
      </c>
      <c r="L99" s="12">
        <v>20.210599999999999</v>
      </c>
      <c r="M99" s="12">
        <v>19.649000000000001</v>
      </c>
      <c r="N99" s="12">
        <v>18.2471</v>
      </c>
      <c r="O99" s="12">
        <v>27.438800000000001</v>
      </c>
    </row>
    <row r="100" spans="1:15" x14ac:dyDescent="0.3">
      <c r="A100" s="25" t="s">
        <v>337</v>
      </c>
      <c r="B100" s="25" t="s">
        <v>481</v>
      </c>
      <c r="C100" s="25" t="s">
        <v>482</v>
      </c>
      <c r="D100" s="25" t="s">
        <v>483</v>
      </c>
      <c r="E100" s="25" t="s">
        <v>144</v>
      </c>
      <c r="F100" s="12">
        <v>0</v>
      </c>
      <c r="G100" s="12">
        <v>0</v>
      </c>
      <c r="H100" s="12">
        <v>0</v>
      </c>
      <c r="I100" s="12">
        <v>0</v>
      </c>
      <c r="J100" s="12">
        <v>0</v>
      </c>
      <c r="K100" s="12">
        <v>0</v>
      </c>
      <c r="L100" s="12">
        <v>0</v>
      </c>
      <c r="M100" s="12">
        <v>0</v>
      </c>
      <c r="N100" s="12">
        <v>0</v>
      </c>
      <c r="O100" s="12">
        <v>299.70830000000001</v>
      </c>
    </row>
    <row r="101" spans="1:15" x14ac:dyDescent="0.3">
      <c r="A101" s="25" t="s">
        <v>337</v>
      </c>
      <c r="B101" s="25" t="s">
        <v>484</v>
      </c>
      <c r="C101" s="25" t="s">
        <v>485</v>
      </c>
      <c r="D101" s="25" t="s">
        <v>486</v>
      </c>
      <c r="E101" s="25" t="s">
        <v>144</v>
      </c>
      <c r="F101" s="12">
        <v>6.3394000000000004</v>
      </c>
      <c r="G101" s="12">
        <v>6.7888000000000002</v>
      </c>
      <c r="H101" s="12">
        <v>4.6974</v>
      </c>
      <c r="I101" s="12">
        <v>7.1360999999999999</v>
      </c>
      <c r="J101" s="12">
        <v>9.9564000000000004</v>
      </c>
      <c r="K101" s="12">
        <v>13.0205</v>
      </c>
      <c r="L101" s="12">
        <v>25.744399999999999</v>
      </c>
      <c r="M101" s="12">
        <v>21.7774</v>
      </c>
      <c r="N101" s="12">
        <v>26.035799999999998</v>
      </c>
      <c r="O101" s="12">
        <v>15.7963</v>
      </c>
    </row>
    <row r="102" spans="1:15" x14ac:dyDescent="0.3">
      <c r="A102" s="25" t="s">
        <v>337</v>
      </c>
      <c r="B102" s="25" t="s">
        <v>487</v>
      </c>
      <c r="C102" s="25" t="s">
        <v>488</v>
      </c>
      <c r="D102" s="25" t="s">
        <v>489</v>
      </c>
      <c r="E102" s="25" t="s">
        <v>144</v>
      </c>
      <c r="F102" s="12">
        <v>0.36990000000000001</v>
      </c>
      <c r="G102" s="12">
        <v>3.17</v>
      </c>
      <c r="H102" s="12">
        <v>1.5786</v>
      </c>
      <c r="I102" s="12">
        <v>1.7970999999999999</v>
      </c>
      <c r="J102" s="12">
        <v>3.2296</v>
      </c>
      <c r="K102" s="12">
        <v>7.1741999999999999</v>
      </c>
      <c r="L102" s="12">
        <v>5.1501000000000001</v>
      </c>
      <c r="M102" s="12">
        <v>3.9807999999999999</v>
      </c>
      <c r="N102" s="12">
        <v>2.0528</v>
      </c>
      <c r="O102" s="12">
        <v>1.4452</v>
      </c>
    </row>
    <row r="103" spans="1:15" x14ac:dyDescent="0.3">
      <c r="A103" s="25" t="s">
        <v>337</v>
      </c>
      <c r="B103" s="25" t="s">
        <v>490</v>
      </c>
      <c r="C103" s="25" t="s">
        <v>491</v>
      </c>
      <c r="D103" s="25" t="s">
        <v>492</v>
      </c>
      <c r="E103" s="25" t="s">
        <v>144</v>
      </c>
      <c r="F103" s="12">
        <v>0</v>
      </c>
      <c r="G103" s="12">
        <v>0</v>
      </c>
      <c r="H103" s="12">
        <v>0</v>
      </c>
      <c r="I103" s="12">
        <v>0</v>
      </c>
      <c r="J103" s="12">
        <v>0</v>
      </c>
      <c r="K103" s="12">
        <v>0</v>
      </c>
      <c r="L103" s="12">
        <v>0</v>
      </c>
      <c r="M103" s="12">
        <v>0</v>
      </c>
      <c r="N103" s="12">
        <v>0</v>
      </c>
      <c r="O103" s="12">
        <v>0.3</v>
      </c>
    </row>
    <row r="104" spans="1:15" x14ac:dyDescent="0.3">
      <c r="A104" s="25" t="s">
        <v>337</v>
      </c>
      <c r="B104" s="25" t="s">
        <v>493</v>
      </c>
      <c r="C104" s="25" t="s">
        <v>494</v>
      </c>
      <c r="D104" s="25" t="s">
        <v>495</v>
      </c>
      <c r="E104" s="25" t="s">
        <v>144</v>
      </c>
      <c r="F104" s="12">
        <v>28.110499999999998</v>
      </c>
      <c r="G104" s="12">
        <v>41.982500000000002</v>
      </c>
      <c r="H104" s="12">
        <v>21.351800000000001</v>
      </c>
      <c r="I104" s="12">
        <v>25.6525</v>
      </c>
      <c r="J104" s="12">
        <v>31.500699999999998</v>
      </c>
      <c r="K104" s="12">
        <v>32.5608</v>
      </c>
      <c r="L104" s="12">
        <v>60.816099999999999</v>
      </c>
      <c r="M104" s="12">
        <v>34.318399999999997</v>
      </c>
      <c r="N104" s="12">
        <v>26.466999999999999</v>
      </c>
      <c r="O104" s="12">
        <v>44.8887</v>
      </c>
    </row>
    <row r="105" spans="1:15" x14ac:dyDescent="0.3">
      <c r="A105" s="25" t="s">
        <v>337</v>
      </c>
      <c r="B105" s="25" t="s">
        <v>496</v>
      </c>
      <c r="C105" s="25" t="s">
        <v>497</v>
      </c>
      <c r="D105" s="25" t="s">
        <v>498</v>
      </c>
      <c r="E105" s="25" t="s">
        <v>144</v>
      </c>
      <c r="F105" s="12">
        <v>6.8564999999999996</v>
      </c>
      <c r="G105" s="12">
        <v>5.7888999999999999</v>
      </c>
      <c r="H105" s="12">
        <v>4.8322000000000003</v>
      </c>
      <c r="I105" s="12">
        <v>18.5534</v>
      </c>
      <c r="J105" s="12">
        <v>10.082000000000001</v>
      </c>
      <c r="K105" s="12">
        <v>13.4634</v>
      </c>
      <c r="L105" s="12">
        <v>27.1051</v>
      </c>
      <c r="M105" s="12">
        <v>39.201900000000002</v>
      </c>
      <c r="N105" s="12">
        <v>24.463200000000001</v>
      </c>
      <c r="O105" s="12">
        <v>24.24</v>
      </c>
    </row>
    <row r="106" spans="1:15" x14ac:dyDescent="0.3">
      <c r="A106" s="25" t="s">
        <v>337</v>
      </c>
      <c r="B106" s="25" t="s">
        <v>499</v>
      </c>
      <c r="C106" s="25" t="s">
        <v>500</v>
      </c>
      <c r="D106" s="25" t="s">
        <v>501</v>
      </c>
      <c r="E106" s="25" t="s">
        <v>144</v>
      </c>
      <c r="F106" s="12">
        <v>0.65490000000000004</v>
      </c>
      <c r="G106" s="12">
        <v>0.7923</v>
      </c>
      <c r="H106" s="12">
        <v>0.92779999999999996</v>
      </c>
      <c r="I106" s="12">
        <v>1.0530999999999999</v>
      </c>
      <c r="J106" s="12">
        <v>1.2196</v>
      </c>
      <c r="K106" s="12">
        <v>1.3905000000000001</v>
      </c>
      <c r="L106" s="12">
        <v>1.5442</v>
      </c>
      <c r="M106" s="12">
        <v>1.6811</v>
      </c>
      <c r="N106" s="12">
        <v>1.8569</v>
      </c>
      <c r="O106" s="12">
        <v>2.0139</v>
      </c>
    </row>
    <row r="107" spans="1:15" x14ac:dyDescent="0.3">
      <c r="A107" s="25" t="s">
        <v>337</v>
      </c>
      <c r="B107" s="25" t="s">
        <v>502</v>
      </c>
      <c r="C107" s="25" t="s">
        <v>503</v>
      </c>
      <c r="D107" s="25" t="s">
        <v>504</v>
      </c>
      <c r="E107" s="25" t="s">
        <v>144</v>
      </c>
      <c r="F107" s="12">
        <v>24.054200000000002</v>
      </c>
      <c r="G107" s="12">
        <v>14.581899999999999</v>
      </c>
      <c r="H107" s="12">
        <v>31.139900000000001</v>
      </c>
      <c r="I107" s="12">
        <v>24.101600000000001</v>
      </c>
      <c r="J107" s="12">
        <v>31.746200000000002</v>
      </c>
      <c r="K107" s="12">
        <v>37.418100000000003</v>
      </c>
      <c r="L107" s="12">
        <v>39.867100000000001</v>
      </c>
      <c r="M107" s="12">
        <v>88.396600000000007</v>
      </c>
      <c r="N107" s="12">
        <v>91.012</v>
      </c>
      <c r="O107" s="12">
        <v>84.6905</v>
      </c>
    </row>
    <row r="108" spans="1:15" x14ac:dyDescent="0.3">
      <c r="A108" s="25" t="s">
        <v>337</v>
      </c>
      <c r="B108" s="25" t="s">
        <v>505</v>
      </c>
      <c r="C108" s="25" t="s">
        <v>506</v>
      </c>
      <c r="D108" s="25" t="s">
        <v>507</v>
      </c>
      <c r="E108" s="25" t="s">
        <v>144</v>
      </c>
      <c r="F108" s="12">
        <v>0</v>
      </c>
      <c r="G108" s="12">
        <v>0</v>
      </c>
      <c r="H108" s="12">
        <v>0</v>
      </c>
      <c r="I108" s="12">
        <v>0</v>
      </c>
      <c r="J108" s="12">
        <v>0</v>
      </c>
      <c r="K108" s="12">
        <v>0</v>
      </c>
      <c r="L108" s="12">
        <v>0</v>
      </c>
      <c r="M108" s="12">
        <v>0</v>
      </c>
      <c r="N108" s="12">
        <v>10</v>
      </c>
      <c r="O108" s="12">
        <v>60</v>
      </c>
    </row>
    <row r="109" spans="1:15" x14ac:dyDescent="0.3">
      <c r="A109" s="25" t="s">
        <v>337</v>
      </c>
      <c r="B109" s="25" t="s">
        <v>508</v>
      </c>
      <c r="C109" s="25" t="s">
        <v>509</v>
      </c>
      <c r="D109" s="25" t="s">
        <v>510</v>
      </c>
      <c r="E109" s="25" t="s">
        <v>144</v>
      </c>
      <c r="F109" s="12">
        <v>0.42659999999999998</v>
      </c>
      <c r="G109" s="12">
        <v>1.0952999999999999</v>
      </c>
      <c r="H109" s="12">
        <v>1.7683</v>
      </c>
      <c r="I109" s="12">
        <v>4.8262999999999998</v>
      </c>
      <c r="J109" s="12">
        <v>0.51619999999999999</v>
      </c>
      <c r="K109" s="12">
        <v>1.5582</v>
      </c>
      <c r="L109" s="12">
        <v>0.93630000000000002</v>
      </c>
      <c r="M109" s="12">
        <v>0.69189999999999996</v>
      </c>
      <c r="N109" s="12">
        <v>0.77149999999999996</v>
      </c>
      <c r="O109" s="12">
        <v>0.6653</v>
      </c>
    </row>
    <row r="110" spans="1:15" x14ac:dyDescent="0.3">
      <c r="A110" s="25" t="s">
        <v>337</v>
      </c>
      <c r="B110" s="25" t="s">
        <v>511</v>
      </c>
      <c r="C110" s="25" t="s">
        <v>512</v>
      </c>
      <c r="D110" s="25" t="s">
        <v>513</v>
      </c>
      <c r="E110" s="25" t="s">
        <v>144</v>
      </c>
      <c r="F110" s="12">
        <v>2.0000000000000001E-4</v>
      </c>
      <c r="G110" s="12">
        <v>2.0000000000000001E-4</v>
      </c>
      <c r="H110" s="12">
        <v>2.0000000000000001E-4</v>
      </c>
      <c r="I110" s="12">
        <v>2.0000000000000001E-4</v>
      </c>
      <c r="J110" s="12">
        <v>2.0000000000000001E-4</v>
      </c>
      <c r="K110" s="12">
        <v>2.0000000000000001E-4</v>
      </c>
      <c r="L110" s="12">
        <v>2.0000000000000001E-4</v>
      </c>
      <c r="M110" s="12">
        <v>2.0000000000000001E-4</v>
      </c>
      <c r="N110" s="12">
        <v>2.0000000000000001E-4</v>
      </c>
      <c r="O110" s="12">
        <v>2.0000000000000001E-4</v>
      </c>
    </row>
    <row r="111" spans="1:15" x14ac:dyDescent="0.3">
      <c r="A111" s="11" t="s">
        <v>337</v>
      </c>
      <c r="B111" s="11" t="s">
        <v>514</v>
      </c>
      <c r="C111" s="11" t="s">
        <v>515</v>
      </c>
      <c r="D111" s="11" t="s">
        <v>516</v>
      </c>
      <c r="E111" s="11" t="s">
        <v>144</v>
      </c>
      <c r="F111" s="12">
        <v>13.702500000000001</v>
      </c>
      <c r="G111" s="12">
        <v>11.742599999999999</v>
      </c>
      <c r="H111" s="12">
        <v>30.863199999999999</v>
      </c>
      <c r="I111" s="12">
        <v>18.402200000000001</v>
      </c>
      <c r="J111" s="12">
        <v>320.10610000000003</v>
      </c>
      <c r="K111" s="12">
        <v>317.92809999999997</v>
      </c>
      <c r="L111" s="12">
        <v>336.95589999999999</v>
      </c>
      <c r="M111" s="12">
        <v>1325.0273999999999</v>
      </c>
      <c r="N111" s="12">
        <v>1321.5578</v>
      </c>
      <c r="O111" s="12">
        <v>1058.5754999999999</v>
      </c>
    </row>
    <row r="112" spans="1:15" x14ac:dyDescent="0.3">
      <c r="A112" s="25" t="s">
        <v>337</v>
      </c>
      <c r="B112" s="25" t="s">
        <v>517</v>
      </c>
      <c r="C112" s="25" t="s">
        <v>518</v>
      </c>
      <c r="D112" s="25" t="s">
        <v>519</v>
      </c>
      <c r="E112" s="25" t="s">
        <v>144</v>
      </c>
      <c r="F112" s="12">
        <v>12.9574</v>
      </c>
      <c r="G112" s="12">
        <v>11.6877</v>
      </c>
      <c r="H112" s="12">
        <v>30.791499999999999</v>
      </c>
      <c r="I112" s="12">
        <v>18.342500000000001</v>
      </c>
      <c r="J112" s="12">
        <v>18.401299999999999</v>
      </c>
      <c r="K112" s="12">
        <v>14.8576</v>
      </c>
      <c r="L112" s="12">
        <v>31.7134</v>
      </c>
      <c r="M112" s="12">
        <v>27.0444</v>
      </c>
      <c r="N112" s="12">
        <v>23.215699999999998</v>
      </c>
      <c r="O112" s="12">
        <v>59.249299999999998</v>
      </c>
    </row>
    <row r="113" spans="1:15" x14ac:dyDescent="0.3">
      <c r="A113" s="25" t="s">
        <v>337</v>
      </c>
      <c r="B113" s="25" t="s">
        <v>520</v>
      </c>
      <c r="C113" s="25" t="s">
        <v>521</v>
      </c>
      <c r="D113" s="25" t="s">
        <v>522</v>
      </c>
      <c r="E113" s="25" t="s">
        <v>144</v>
      </c>
      <c r="F113" s="12">
        <v>12.9574</v>
      </c>
      <c r="G113" s="12">
        <v>11.6877</v>
      </c>
      <c r="H113" s="12">
        <v>30.791499999999999</v>
      </c>
      <c r="I113" s="12">
        <v>18.342500000000001</v>
      </c>
      <c r="J113" s="12">
        <v>18.401299999999999</v>
      </c>
      <c r="K113" s="12">
        <v>14.8576</v>
      </c>
      <c r="L113" s="12">
        <v>31.7134</v>
      </c>
      <c r="M113" s="12">
        <v>27.0444</v>
      </c>
      <c r="N113" s="12">
        <v>23.215699999999998</v>
      </c>
      <c r="O113" s="12">
        <v>59.249299999999998</v>
      </c>
    </row>
    <row r="114" spans="1:15" x14ac:dyDescent="0.3">
      <c r="A114" s="25" t="s">
        <v>337</v>
      </c>
      <c r="B114" s="25" t="s">
        <v>523</v>
      </c>
      <c r="C114" s="25" t="s">
        <v>524</v>
      </c>
      <c r="D114" s="25" t="s">
        <v>525</v>
      </c>
      <c r="E114" s="25" t="s">
        <v>144</v>
      </c>
      <c r="F114" s="12">
        <v>0</v>
      </c>
      <c r="G114" s="12">
        <v>0</v>
      </c>
      <c r="H114" s="12">
        <v>0</v>
      </c>
      <c r="I114" s="12">
        <v>0</v>
      </c>
      <c r="J114" s="12">
        <v>300</v>
      </c>
      <c r="K114" s="12">
        <v>299.20830000000001</v>
      </c>
      <c r="L114" s="12">
        <v>299.33330000000001</v>
      </c>
      <c r="M114" s="12">
        <v>1297.8527999999999</v>
      </c>
      <c r="N114" s="12">
        <v>1298.2121</v>
      </c>
      <c r="O114" s="12">
        <v>998.86300000000006</v>
      </c>
    </row>
    <row r="115" spans="1:15" x14ac:dyDescent="0.3">
      <c r="A115" s="25" t="s">
        <v>337</v>
      </c>
      <c r="B115" s="25" t="s">
        <v>526</v>
      </c>
      <c r="C115" s="25" t="s">
        <v>527</v>
      </c>
      <c r="D115" s="25" t="s">
        <v>528</v>
      </c>
      <c r="E115" s="25" t="s">
        <v>144</v>
      </c>
      <c r="F115" s="12">
        <v>0.74509999999999998</v>
      </c>
      <c r="G115" s="12">
        <v>5.4899999999999997E-2</v>
      </c>
      <c r="H115" s="12">
        <v>7.1800000000000003E-2</v>
      </c>
      <c r="I115" s="12">
        <v>5.9700000000000003E-2</v>
      </c>
      <c r="J115" s="12">
        <v>1.7049000000000001</v>
      </c>
      <c r="K115" s="12">
        <v>3.8622000000000001</v>
      </c>
      <c r="L115" s="12">
        <v>5.9092000000000002</v>
      </c>
      <c r="M115" s="12">
        <v>0.13020000000000001</v>
      </c>
      <c r="N115" s="12">
        <v>0.13009999999999999</v>
      </c>
      <c r="O115" s="12">
        <v>0.46310000000000001</v>
      </c>
    </row>
    <row r="116" spans="1:15" x14ac:dyDescent="0.3">
      <c r="A116" s="11" t="s">
        <v>337</v>
      </c>
      <c r="B116" s="11" t="s">
        <v>529</v>
      </c>
      <c r="C116" s="11" t="s">
        <v>530</v>
      </c>
      <c r="D116" s="11" t="s">
        <v>531</v>
      </c>
      <c r="E116" s="11" t="s">
        <v>144</v>
      </c>
      <c r="F116" s="12">
        <v>4248.1773000000003</v>
      </c>
      <c r="G116" s="12">
        <v>4117.3392000000003</v>
      </c>
      <c r="H116" s="12">
        <v>4161.7129000000004</v>
      </c>
      <c r="I116" s="12">
        <v>4029.8002000000001</v>
      </c>
      <c r="J116" s="12">
        <v>4082.8964000000001</v>
      </c>
      <c r="K116" s="12">
        <v>4156.2503999999999</v>
      </c>
      <c r="L116" s="12">
        <v>4293.0574999999999</v>
      </c>
      <c r="M116" s="12">
        <v>4302.3298000000004</v>
      </c>
      <c r="N116" s="12">
        <v>5358.4456</v>
      </c>
      <c r="O116" s="12">
        <v>5440.2462999999998</v>
      </c>
    </row>
    <row r="117" spans="1:15" x14ac:dyDescent="0.3">
      <c r="A117" s="25" t="s">
        <v>337</v>
      </c>
      <c r="B117" s="25" t="s">
        <v>532</v>
      </c>
      <c r="C117" s="25" t="s">
        <v>533</v>
      </c>
      <c r="D117" s="25" t="s">
        <v>534</v>
      </c>
      <c r="E117" s="25" t="s">
        <v>144</v>
      </c>
      <c r="F117" s="12">
        <v>3872.7257</v>
      </c>
      <c r="G117" s="12">
        <v>3872.7257</v>
      </c>
      <c r="H117" s="12">
        <v>3872.7257</v>
      </c>
      <c r="I117" s="12">
        <v>3872.7257</v>
      </c>
      <c r="J117" s="12">
        <v>3872.7257</v>
      </c>
      <c r="K117" s="12">
        <v>3872.7257</v>
      </c>
      <c r="L117" s="12">
        <v>3872.7257</v>
      </c>
      <c r="M117" s="12">
        <v>3872.7257</v>
      </c>
      <c r="N117" s="12">
        <v>5157.3347999999996</v>
      </c>
      <c r="O117" s="12">
        <v>5157.3347999999996</v>
      </c>
    </row>
    <row r="118" spans="1:15" x14ac:dyDescent="0.3">
      <c r="A118" s="25" t="s">
        <v>337</v>
      </c>
      <c r="B118" s="25" t="s">
        <v>535</v>
      </c>
      <c r="C118" s="25" t="s">
        <v>536</v>
      </c>
      <c r="D118" s="25" t="s">
        <v>537</v>
      </c>
      <c r="E118" s="25" t="s">
        <v>144</v>
      </c>
      <c r="F118" s="12">
        <v>3300</v>
      </c>
      <c r="G118" s="12">
        <v>3300</v>
      </c>
      <c r="H118" s="12">
        <v>3300</v>
      </c>
      <c r="I118" s="12">
        <v>3300</v>
      </c>
      <c r="J118" s="12">
        <v>3300</v>
      </c>
      <c r="K118" s="12">
        <v>3399</v>
      </c>
      <c r="L118" s="12">
        <v>3399</v>
      </c>
      <c r="M118" s="12">
        <v>3426</v>
      </c>
      <c r="N118" s="12">
        <v>4282.4980999999998</v>
      </c>
      <c r="O118" s="12">
        <v>4282.4980999999998</v>
      </c>
    </row>
    <row r="119" spans="1:15" x14ac:dyDescent="0.3">
      <c r="A119" s="25" t="s">
        <v>337</v>
      </c>
      <c r="B119" s="25" t="s">
        <v>538</v>
      </c>
      <c r="C119" s="25" t="s">
        <v>539</v>
      </c>
      <c r="D119" s="25" t="s">
        <v>540</v>
      </c>
      <c r="E119" s="25" t="s">
        <v>144</v>
      </c>
      <c r="F119" s="12">
        <v>3300</v>
      </c>
      <c r="G119" s="12">
        <v>3300</v>
      </c>
      <c r="H119" s="12">
        <v>3300</v>
      </c>
      <c r="I119" s="12">
        <v>3300</v>
      </c>
      <c r="J119" s="12">
        <v>3300</v>
      </c>
      <c r="K119" s="12">
        <v>3399</v>
      </c>
      <c r="L119" s="12">
        <v>3399</v>
      </c>
      <c r="M119" s="12">
        <v>3426</v>
      </c>
      <c r="N119" s="12">
        <v>4282.4980999999998</v>
      </c>
      <c r="O119" s="12">
        <v>4282.4980999999998</v>
      </c>
    </row>
    <row r="120" spans="1:15" x14ac:dyDescent="0.3">
      <c r="A120" s="25" t="s">
        <v>337</v>
      </c>
      <c r="B120" s="25" t="s">
        <v>541</v>
      </c>
      <c r="C120" s="25" t="s">
        <v>542</v>
      </c>
      <c r="D120" s="25" t="s">
        <v>543</v>
      </c>
      <c r="E120" s="25" t="s">
        <v>144</v>
      </c>
      <c r="F120" s="12">
        <v>572.72569999999996</v>
      </c>
      <c r="G120" s="12">
        <v>572.72569999999996</v>
      </c>
      <c r="H120" s="12">
        <v>572.72569999999996</v>
      </c>
      <c r="I120" s="12">
        <v>572.72569999999996</v>
      </c>
      <c r="J120" s="12">
        <v>572.72569999999996</v>
      </c>
      <c r="K120" s="12">
        <v>473.72570000000002</v>
      </c>
      <c r="L120" s="12">
        <v>473.72570000000002</v>
      </c>
      <c r="M120" s="12">
        <v>446.72570000000002</v>
      </c>
      <c r="N120" s="12">
        <v>874.83680000000004</v>
      </c>
      <c r="O120" s="12">
        <v>874.83680000000004</v>
      </c>
    </row>
    <row r="121" spans="1:15" x14ac:dyDescent="0.3">
      <c r="A121" s="25" t="s">
        <v>337</v>
      </c>
      <c r="B121" s="25" t="s">
        <v>544</v>
      </c>
      <c r="C121" s="25" t="s">
        <v>545</v>
      </c>
      <c r="D121" s="25" t="s">
        <v>546</v>
      </c>
      <c r="E121" s="25" t="s">
        <v>144</v>
      </c>
      <c r="F121" s="12">
        <v>2.5989</v>
      </c>
      <c r="G121" s="12">
        <v>2.5989</v>
      </c>
      <c r="H121" s="12">
        <v>2.5989</v>
      </c>
      <c r="I121" s="12">
        <v>2.5989</v>
      </c>
      <c r="J121" s="12">
        <v>2.5989</v>
      </c>
      <c r="K121" s="12">
        <v>0</v>
      </c>
      <c r="L121" s="12">
        <v>2.5989</v>
      </c>
      <c r="M121" s="12">
        <v>2.5989</v>
      </c>
      <c r="N121" s="12">
        <v>2.5989</v>
      </c>
      <c r="O121" s="12">
        <v>2.5989</v>
      </c>
    </row>
    <row r="122" spans="1:15" x14ac:dyDescent="0.3">
      <c r="A122" s="25" t="s">
        <v>337</v>
      </c>
      <c r="B122" s="25" t="s">
        <v>547</v>
      </c>
      <c r="C122" s="25" t="s">
        <v>548</v>
      </c>
      <c r="D122" s="25" t="s">
        <v>549</v>
      </c>
      <c r="E122" s="25" t="s">
        <v>144</v>
      </c>
      <c r="F122" s="12">
        <v>3.2349000000000001</v>
      </c>
      <c r="G122" s="12">
        <v>3.2349000000000001</v>
      </c>
      <c r="H122" s="12">
        <v>3.2349000000000001</v>
      </c>
      <c r="I122" s="12">
        <v>3.2349000000000001</v>
      </c>
      <c r="J122" s="12">
        <v>3.2349000000000001</v>
      </c>
      <c r="K122" s="12">
        <v>0</v>
      </c>
      <c r="L122" s="12">
        <v>0</v>
      </c>
      <c r="M122" s="12">
        <v>0</v>
      </c>
      <c r="N122" s="12">
        <v>0</v>
      </c>
      <c r="O122" s="12">
        <v>0</v>
      </c>
    </row>
    <row r="123" spans="1:15" x14ac:dyDescent="0.3">
      <c r="A123" s="25" t="s">
        <v>337</v>
      </c>
      <c r="B123" s="25" t="s">
        <v>550</v>
      </c>
      <c r="C123" s="25" t="s">
        <v>551</v>
      </c>
      <c r="D123" s="25" t="s">
        <v>552</v>
      </c>
      <c r="E123" s="25" t="s">
        <v>144</v>
      </c>
      <c r="F123" s="12">
        <v>369.61770000000001</v>
      </c>
      <c r="G123" s="12">
        <v>238.77959999999999</v>
      </c>
      <c r="H123" s="12">
        <v>283.1533</v>
      </c>
      <c r="I123" s="12">
        <v>151.2406</v>
      </c>
      <c r="J123" s="12">
        <v>204.33690000000001</v>
      </c>
      <c r="K123" s="12">
        <v>283.5247</v>
      </c>
      <c r="L123" s="12">
        <v>417.73289999999997</v>
      </c>
      <c r="M123" s="12">
        <v>427.0052</v>
      </c>
      <c r="N123" s="12">
        <v>198.51179999999999</v>
      </c>
      <c r="O123" s="12">
        <v>280.31259999999997</v>
      </c>
    </row>
    <row r="124" spans="1:15" x14ac:dyDescent="0.3">
      <c r="A124" s="25" t="s">
        <v>337</v>
      </c>
      <c r="B124" s="25" t="s">
        <v>553</v>
      </c>
      <c r="C124" s="25" t="s">
        <v>314</v>
      </c>
      <c r="D124" s="25" t="s">
        <v>554</v>
      </c>
      <c r="E124" s="25" t="s">
        <v>144</v>
      </c>
      <c r="F124" s="12">
        <v>368.22469999999998</v>
      </c>
      <c r="G124" s="12">
        <v>255.26230000000001</v>
      </c>
      <c r="H124" s="12">
        <v>307.00850000000003</v>
      </c>
      <c r="I124" s="12">
        <v>185.6986</v>
      </c>
      <c r="J124" s="12">
        <v>226.63460000000001</v>
      </c>
      <c r="K124" s="12">
        <v>271.59160000000003</v>
      </c>
      <c r="L124" s="12">
        <v>395.15859999999998</v>
      </c>
      <c r="M124" s="12">
        <v>451.89949999999999</v>
      </c>
      <c r="N124" s="12">
        <v>240.42169999999999</v>
      </c>
      <c r="O124" s="12">
        <v>320.41039999999998</v>
      </c>
    </row>
    <row r="125" spans="1:15" x14ac:dyDescent="0.3">
      <c r="A125" s="25" t="s">
        <v>337</v>
      </c>
      <c r="B125" s="25" t="s">
        <v>555</v>
      </c>
      <c r="C125" s="25" t="s">
        <v>556</v>
      </c>
      <c r="D125" s="25" t="s">
        <v>557</v>
      </c>
      <c r="E125" s="25" t="s">
        <v>144</v>
      </c>
      <c r="F125" s="12">
        <v>368.22469999999998</v>
      </c>
      <c r="G125" s="12">
        <v>255.26230000000001</v>
      </c>
      <c r="H125" s="12">
        <v>307.00850000000003</v>
      </c>
      <c r="I125" s="12">
        <v>185.6986</v>
      </c>
      <c r="J125" s="12">
        <v>226.63460000000001</v>
      </c>
      <c r="K125" s="12">
        <v>271.59160000000003</v>
      </c>
      <c r="L125" s="12">
        <v>395.15859999999998</v>
      </c>
      <c r="M125" s="12">
        <v>451.89949999999999</v>
      </c>
      <c r="N125" s="12">
        <v>240.42169999999999</v>
      </c>
      <c r="O125" s="12">
        <v>320.41039999999998</v>
      </c>
    </row>
    <row r="126" spans="1:15" x14ac:dyDescent="0.3">
      <c r="A126" s="25" t="s">
        <v>337</v>
      </c>
      <c r="B126" s="25" t="s">
        <v>558</v>
      </c>
      <c r="C126" s="25" t="s">
        <v>317</v>
      </c>
      <c r="D126" s="25" t="s">
        <v>559</v>
      </c>
      <c r="E126" s="25" t="s">
        <v>144</v>
      </c>
      <c r="F126" s="12">
        <v>1.393</v>
      </c>
      <c r="G126" s="12">
        <v>-16.482800000000001</v>
      </c>
      <c r="H126" s="12">
        <v>-23.8553</v>
      </c>
      <c r="I126" s="12">
        <v>-34.457999999999998</v>
      </c>
      <c r="J126" s="12">
        <v>-22.297799999999999</v>
      </c>
      <c r="K126" s="12">
        <v>11.933</v>
      </c>
      <c r="L126" s="12">
        <v>22.574300000000001</v>
      </c>
      <c r="M126" s="12">
        <v>-24.894300000000001</v>
      </c>
      <c r="N126" s="12">
        <v>-41.9099</v>
      </c>
      <c r="O126" s="12">
        <v>-40.097799999999999</v>
      </c>
    </row>
    <row r="127" spans="1:15" x14ac:dyDescent="0.3">
      <c r="A127" s="11" t="s">
        <v>337</v>
      </c>
      <c r="B127" s="11" t="s">
        <v>560</v>
      </c>
      <c r="C127" s="11" t="s">
        <v>561</v>
      </c>
      <c r="D127" s="11" t="s">
        <v>562</v>
      </c>
      <c r="E127" s="11" t="s">
        <v>144</v>
      </c>
      <c r="F127" s="12">
        <v>9234.7523999999994</v>
      </c>
      <c r="G127" s="12">
        <v>8902.3428000000004</v>
      </c>
      <c r="H127" s="12">
        <v>10383.8521</v>
      </c>
      <c r="I127" s="12">
        <v>10637.2521</v>
      </c>
      <c r="J127" s="12">
        <v>11156.2384</v>
      </c>
      <c r="K127" s="12">
        <v>11920.0047</v>
      </c>
      <c r="L127" s="12">
        <v>14009.370800000001</v>
      </c>
      <c r="M127" s="12">
        <v>15139.226699999999</v>
      </c>
      <c r="N127" s="12">
        <v>15559.097299999999</v>
      </c>
      <c r="O127" s="12">
        <v>15207.602000000001</v>
      </c>
    </row>
    <row r="128" spans="1:15" x14ac:dyDescent="0.3">
      <c r="A128" s="25" t="s">
        <v>337</v>
      </c>
      <c r="B128" s="25" t="s">
        <v>563</v>
      </c>
      <c r="C128" s="25" t="s">
        <v>564</v>
      </c>
      <c r="D128" s="25" t="s">
        <v>565</v>
      </c>
      <c r="E128" s="25" t="s">
        <v>566</v>
      </c>
      <c r="F128" s="23">
        <v>330000000</v>
      </c>
      <c r="G128" s="23">
        <v>330000000</v>
      </c>
      <c r="H128" s="23">
        <v>300000000</v>
      </c>
      <c r="I128" s="23">
        <v>330000000</v>
      </c>
      <c r="J128" s="23">
        <v>330000000</v>
      </c>
      <c r="K128" s="23">
        <v>339900000</v>
      </c>
      <c r="L128" s="23">
        <v>339900000</v>
      </c>
      <c r="M128" s="23">
        <v>342600000</v>
      </c>
      <c r="N128" s="23">
        <v>428249806</v>
      </c>
      <c r="O128" s="23">
        <v>428249806</v>
      </c>
    </row>
    <row r="129" spans="1:15" x14ac:dyDescent="0.3">
      <c r="A129" s="25" t="s">
        <v>337</v>
      </c>
      <c r="B129" s="25" t="s">
        <v>567</v>
      </c>
      <c r="C129" s="25" t="s">
        <v>568</v>
      </c>
      <c r="D129" s="25" t="s">
        <v>569</v>
      </c>
      <c r="E129" s="25" t="s">
        <v>144</v>
      </c>
      <c r="F129" s="12">
        <v>67.905600000000007</v>
      </c>
      <c r="G129" s="12">
        <v>200.01220000000001</v>
      </c>
      <c r="H129" s="12">
        <v>388.75110000000001</v>
      </c>
      <c r="I129" s="12">
        <v>285.95530000000002</v>
      </c>
      <c r="J129" s="12">
        <v>610.72940000000006</v>
      </c>
      <c r="K129" s="12">
        <v>786.1902</v>
      </c>
      <c r="L129" s="12">
        <v>986.60950000000003</v>
      </c>
      <c r="M129" s="12">
        <v>2005.9508000000001</v>
      </c>
      <c r="N129" s="12">
        <v>1377.3851</v>
      </c>
      <c r="O129" s="12">
        <v>1128.6429000000001</v>
      </c>
    </row>
    <row r="130" spans="1:15" x14ac:dyDescent="0.3">
      <c r="A130" s="25" t="s">
        <v>337</v>
      </c>
      <c r="B130" s="25" t="s">
        <v>570</v>
      </c>
      <c r="C130" s="25" t="s">
        <v>571</v>
      </c>
      <c r="D130" s="25" t="s">
        <v>572</v>
      </c>
      <c r="E130" s="25" t="s">
        <v>144</v>
      </c>
      <c r="F130" s="12">
        <v>0</v>
      </c>
      <c r="G130" s="12">
        <v>4.8999999999999998E-3</v>
      </c>
      <c r="H130" s="12">
        <v>1.6000000000000001E-3</v>
      </c>
      <c r="I130" s="12">
        <v>1E-3</v>
      </c>
      <c r="J130" s="12">
        <v>1.18E-2</v>
      </c>
      <c r="K130" s="12">
        <v>2.5000000000000001E-3</v>
      </c>
      <c r="L130" s="12">
        <v>3.4200000000000001E-2</v>
      </c>
      <c r="M130" s="12">
        <v>0</v>
      </c>
      <c r="N130" s="12">
        <v>0</v>
      </c>
      <c r="O130" s="12">
        <v>5.0000000000000001E-3</v>
      </c>
    </row>
    <row r="131" spans="1:15" x14ac:dyDescent="0.3">
      <c r="A131" s="25" t="s">
        <v>337</v>
      </c>
      <c r="B131" s="25" t="s">
        <v>573</v>
      </c>
      <c r="C131" s="25" t="s">
        <v>574</v>
      </c>
      <c r="D131" s="25" t="s">
        <v>575</v>
      </c>
      <c r="E131" s="25" t="s">
        <v>144</v>
      </c>
      <c r="F131" s="12">
        <v>0</v>
      </c>
      <c r="G131" s="12">
        <v>0</v>
      </c>
      <c r="H131" s="12">
        <v>0</v>
      </c>
      <c r="I131" s="12">
        <v>0.1249</v>
      </c>
      <c r="J131" s="12">
        <v>1.6704000000000001</v>
      </c>
      <c r="K131" s="12">
        <v>3.1015000000000001</v>
      </c>
      <c r="L131" s="12">
        <v>2.0089000000000001</v>
      </c>
      <c r="M131" s="12">
        <v>1.9492</v>
      </c>
      <c r="N131" s="12">
        <v>9.2299999999999993E-2</v>
      </c>
      <c r="O131" s="12">
        <v>0.19689999999999999</v>
      </c>
    </row>
    <row r="132" spans="1:15" x14ac:dyDescent="0.3">
      <c r="A132" s="25" t="s">
        <v>337</v>
      </c>
      <c r="B132" s="25" t="s">
        <v>576</v>
      </c>
      <c r="C132" s="25" t="s">
        <v>577</v>
      </c>
      <c r="D132" s="25" t="s">
        <v>578</v>
      </c>
      <c r="E132" s="25" t="s">
        <v>144</v>
      </c>
      <c r="F132" s="12">
        <v>0</v>
      </c>
      <c r="G132" s="12">
        <v>0</v>
      </c>
      <c r="H132" s="12">
        <v>0</v>
      </c>
      <c r="I132" s="12">
        <v>0</v>
      </c>
      <c r="J132" s="12">
        <v>0</v>
      </c>
      <c r="K132" s="12">
        <v>0</v>
      </c>
      <c r="L132" s="12">
        <v>0</v>
      </c>
      <c r="M132" s="12">
        <v>0.1115</v>
      </c>
      <c r="N132" s="12">
        <v>6.0000000000000001E-3</v>
      </c>
      <c r="O132" s="12">
        <v>0.1331</v>
      </c>
    </row>
    <row r="133" spans="1:15" x14ac:dyDescent="0.3">
      <c r="A133" s="25" t="s">
        <v>337</v>
      </c>
      <c r="B133" s="25" t="s">
        <v>579</v>
      </c>
      <c r="C133" s="25" t="s">
        <v>580</v>
      </c>
      <c r="D133" s="25" t="s">
        <v>581</v>
      </c>
      <c r="E133" s="25" t="s">
        <v>144</v>
      </c>
      <c r="F133" s="12">
        <v>13565.9622</v>
      </c>
      <c r="G133" s="12">
        <v>14096.9216</v>
      </c>
      <c r="H133" s="12">
        <v>14318.181500000001</v>
      </c>
      <c r="I133" s="12">
        <v>16734.761999999999</v>
      </c>
      <c r="J133" s="12">
        <v>17263.8776</v>
      </c>
      <c r="K133" s="12">
        <v>17856.824799999999</v>
      </c>
      <c r="L133" s="12">
        <v>20585.6351</v>
      </c>
      <c r="M133" s="12">
        <v>18471.4058</v>
      </c>
      <c r="N133" s="12">
        <v>21885.340100000001</v>
      </c>
      <c r="O133" s="12">
        <v>23231.235100000002</v>
      </c>
    </row>
    <row r="134" spans="1:15" x14ac:dyDescent="0.3">
      <c r="A134" s="25" t="s">
        <v>337</v>
      </c>
      <c r="B134" s="25" t="s">
        <v>582</v>
      </c>
      <c r="C134" s="25" t="s">
        <v>583</v>
      </c>
      <c r="D134" s="25" t="s">
        <v>584</v>
      </c>
      <c r="E134" s="25" t="s">
        <v>144</v>
      </c>
      <c r="F134" s="12">
        <v>12251.075699999999</v>
      </c>
      <c r="G134" s="12">
        <v>13112.0262</v>
      </c>
      <c r="H134" s="12">
        <v>13230.4985</v>
      </c>
      <c r="I134" s="12">
        <v>13607.403899999999</v>
      </c>
      <c r="J134" s="12">
        <v>14513.5561</v>
      </c>
      <c r="K134" s="12">
        <v>15211.0838</v>
      </c>
      <c r="L134" s="12">
        <v>18776.024099999999</v>
      </c>
      <c r="M134" s="12">
        <v>15996.370199999999</v>
      </c>
      <c r="N134" s="12">
        <v>16496.965100000001</v>
      </c>
      <c r="O134" s="12">
        <v>17771.008999999998</v>
      </c>
    </row>
    <row r="135" spans="1:15" x14ac:dyDescent="0.3">
      <c r="A135" s="25" t="s">
        <v>337</v>
      </c>
      <c r="B135" s="25" t="s">
        <v>585</v>
      </c>
      <c r="C135" s="25" t="s">
        <v>586</v>
      </c>
      <c r="D135" s="25" t="s">
        <v>587</v>
      </c>
      <c r="E135" s="25" t="s">
        <v>144</v>
      </c>
      <c r="F135" s="12">
        <v>3.1495000000000002</v>
      </c>
      <c r="G135" s="12">
        <v>7.5190999999999999</v>
      </c>
      <c r="H135" s="12">
        <v>471.11509999999998</v>
      </c>
      <c r="I135" s="12">
        <v>2491.1655000000001</v>
      </c>
      <c r="J135" s="12">
        <v>1482.7125000000001</v>
      </c>
      <c r="K135" s="12">
        <v>1500.9041</v>
      </c>
      <c r="L135" s="12">
        <v>533.68230000000005</v>
      </c>
      <c r="M135" s="12">
        <v>533.68230000000005</v>
      </c>
      <c r="N135" s="12">
        <v>3306.6104999999998</v>
      </c>
      <c r="O135" s="12">
        <v>3666.3552</v>
      </c>
    </row>
    <row r="136" spans="1:15" x14ac:dyDescent="0.3">
      <c r="A136" s="25" t="s">
        <v>337</v>
      </c>
      <c r="B136" s="25" t="s">
        <v>588</v>
      </c>
      <c r="C136" s="25" t="s">
        <v>589</v>
      </c>
      <c r="D136" s="25" t="s">
        <v>590</v>
      </c>
      <c r="E136" s="25" t="s">
        <v>144</v>
      </c>
      <c r="F136" s="12">
        <v>834.07920000000001</v>
      </c>
      <c r="G136" s="12">
        <v>754.1164</v>
      </c>
      <c r="H136" s="12">
        <v>376.34899999999999</v>
      </c>
      <c r="I136" s="12">
        <v>469.83749999999998</v>
      </c>
      <c r="J136" s="12">
        <v>986.67790000000002</v>
      </c>
      <c r="K136" s="12">
        <v>806.07619999999997</v>
      </c>
      <c r="L136" s="12">
        <v>807.3809</v>
      </c>
      <c r="M136" s="12">
        <v>1145.9096999999999</v>
      </c>
      <c r="N136" s="12">
        <v>1621.8647000000001</v>
      </c>
      <c r="O136" s="12">
        <v>1428.2396000000001</v>
      </c>
    </row>
    <row r="137" spans="1:15" x14ac:dyDescent="0.3">
      <c r="A137" s="25" t="s">
        <v>337</v>
      </c>
      <c r="B137" s="25" t="s">
        <v>591</v>
      </c>
      <c r="C137" s="25" t="s">
        <v>592</v>
      </c>
      <c r="D137" s="25" t="s">
        <v>593</v>
      </c>
      <c r="E137" s="25" t="s">
        <v>144</v>
      </c>
      <c r="F137" s="12">
        <v>0</v>
      </c>
      <c r="G137" s="12">
        <v>5.85</v>
      </c>
      <c r="H137" s="12">
        <v>0</v>
      </c>
      <c r="I137" s="12">
        <v>0</v>
      </c>
      <c r="J137" s="12">
        <v>35.049799999999998</v>
      </c>
      <c r="K137" s="12">
        <v>26.713999999999999</v>
      </c>
      <c r="L137" s="12">
        <v>89.686300000000003</v>
      </c>
      <c r="M137" s="12">
        <v>89.686300000000003</v>
      </c>
      <c r="N137" s="12">
        <v>89.686300000000003</v>
      </c>
      <c r="O137" s="12">
        <v>118.8438</v>
      </c>
    </row>
    <row r="138" spans="1:15" x14ac:dyDescent="0.3">
      <c r="A138" s="25" t="s">
        <v>337</v>
      </c>
      <c r="B138" s="25" t="s">
        <v>594</v>
      </c>
      <c r="C138" s="25" t="s">
        <v>595</v>
      </c>
      <c r="D138" s="25" t="s">
        <v>596</v>
      </c>
      <c r="E138" s="25" t="s">
        <v>144</v>
      </c>
      <c r="F138" s="12">
        <v>477.65780000000001</v>
      </c>
      <c r="G138" s="12">
        <v>217.40989999999999</v>
      </c>
      <c r="H138" s="12">
        <v>240.21899999999999</v>
      </c>
      <c r="I138" s="12">
        <v>166.35509999999999</v>
      </c>
      <c r="J138" s="12">
        <v>245.88130000000001</v>
      </c>
      <c r="K138" s="12">
        <v>312.04660000000001</v>
      </c>
      <c r="L138" s="12">
        <v>378.8614</v>
      </c>
      <c r="M138" s="12">
        <v>705.75720000000001</v>
      </c>
      <c r="N138" s="12">
        <v>370.21350000000001</v>
      </c>
      <c r="O138" s="12">
        <v>246.78749999999999</v>
      </c>
    </row>
    <row r="139" spans="1:15" x14ac:dyDescent="0.3">
      <c r="A139" s="25" t="s">
        <v>337</v>
      </c>
      <c r="B139" s="25" t="s">
        <v>597</v>
      </c>
      <c r="C139" s="25" t="s">
        <v>598</v>
      </c>
      <c r="D139" s="25" t="s">
        <v>599</v>
      </c>
      <c r="E139" s="25" t="s">
        <v>144</v>
      </c>
      <c r="F139" s="12">
        <v>457.2054</v>
      </c>
      <c r="G139" s="12">
        <v>825.7423</v>
      </c>
      <c r="H139" s="12">
        <v>633.26059999999995</v>
      </c>
      <c r="I139" s="12">
        <v>491.38470000000001</v>
      </c>
      <c r="J139" s="12">
        <v>813.76469999999995</v>
      </c>
      <c r="K139" s="12">
        <v>565.35969999999998</v>
      </c>
      <c r="L139" s="12">
        <v>639.96860000000004</v>
      </c>
      <c r="M139" s="12">
        <v>292.39550000000003</v>
      </c>
      <c r="N139" s="12">
        <v>149.50530000000001</v>
      </c>
      <c r="O139" s="12">
        <v>166.22790000000001</v>
      </c>
    </row>
    <row r="140" spans="1:15" x14ac:dyDescent="0.3">
      <c r="A140" s="25" t="s">
        <v>337</v>
      </c>
      <c r="B140" s="25" t="s">
        <v>600</v>
      </c>
      <c r="C140" s="25" t="s">
        <v>601</v>
      </c>
      <c r="D140" s="25" t="s">
        <v>602</v>
      </c>
      <c r="E140" s="25" t="s">
        <v>144</v>
      </c>
      <c r="F140" s="12">
        <v>0.1348</v>
      </c>
      <c r="G140" s="12">
        <v>4.8316999999999997</v>
      </c>
      <c r="H140" s="12">
        <v>176.1901</v>
      </c>
      <c r="I140" s="12">
        <v>33.898400000000002</v>
      </c>
      <c r="J140" s="12">
        <v>292.47620000000001</v>
      </c>
      <c r="K140" s="12">
        <v>47.479399999999998</v>
      </c>
      <c r="L140" s="12">
        <v>504.77960000000002</v>
      </c>
      <c r="M140" s="12">
        <v>129.97929999999999</v>
      </c>
      <c r="N140" s="12">
        <v>23.089099999999998</v>
      </c>
      <c r="O140" s="12">
        <v>166.13079999999999</v>
      </c>
    </row>
    <row r="141" spans="1:15" x14ac:dyDescent="0.3">
      <c r="A141" s="25" t="s">
        <v>337</v>
      </c>
      <c r="B141" s="25" t="s">
        <v>603</v>
      </c>
      <c r="C141" s="25" t="s">
        <v>604</v>
      </c>
      <c r="D141" s="25" t="s">
        <v>605</v>
      </c>
      <c r="E141" s="25" t="s">
        <v>144</v>
      </c>
      <c r="F141" s="12">
        <v>457.07060000000001</v>
      </c>
      <c r="G141" s="12">
        <v>820.91060000000004</v>
      </c>
      <c r="H141" s="12">
        <v>457.07060000000001</v>
      </c>
      <c r="I141" s="12">
        <v>457.48630000000003</v>
      </c>
      <c r="J141" s="12">
        <v>521.2885</v>
      </c>
      <c r="K141" s="12">
        <v>517.88030000000003</v>
      </c>
      <c r="L141" s="12">
        <v>135.18899999999999</v>
      </c>
      <c r="M141" s="12">
        <v>162.4162</v>
      </c>
      <c r="N141" s="12">
        <v>126.4162</v>
      </c>
      <c r="O141" s="12">
        <v>9.7199999999999995E-2</v>
      </c>
    </row>
    <row r="142" spans="1:15" x14ac:dyDescent="0.3">
      <c r="A142" s="25" t="s">
        <v>337</v>
      </c>
      <c r="B142" s="25" t="s">
        <v>606</v>
      </c>
      <c r="C142" s="25" t="s">
        <v>607</v>
      </c>
      <c r="D142" s="25" t="s">
        <v>575</v>
      </c>
      <c r="E142" s="25" t="s">
        <v>144</v>
      </c>
      <c r="F142" s="12">
        <v>309.27249999999998</v>
      </c>
      <c r="G142" s="12">
        <v>262.47070000000002</v>
      </c>
      <c r="H142" s="12">
        <v>421.68299999999999</v>
      </c>
      <c r="I142" s="12">
        <v>193.2945</v>
      </c>
      <c r="J142" s="12">
        <v>363.98099999999999</v>
      </c>
      <c r="K142" s="12">
        <v>350.6422</v>
      </c>
      <c r="L142" s="12">
        <v>444.36450000000002</v>
      </c>
      <c r="M142" s="12">
        <v>436.29969999999997</v>
      </c>
      <c r="N142" s="12">
        <v>400.97370000000001</v>
      </c>
      <c r="O142" s="12">
        <v>271.55810000000002</v>
      </c>
    </row>
    <row r="143" spans="1:15" x14ac:dyDescent="0.3">
      <c r="A143" s="25" t="s">
        <v>337</v>
      </c>
      <c r="B143" s="25" t="s">
        <v>608</v>
      </c>
      <c r="C143" s="25" t="s">
        <v>609</v>
      </c>
      <c r="D143" s="25" t="s">
        <v>610</v>
      </c>
      <c r="E143" s="25" t="s">
        <v>144</v>
      </c>
      <c r="F143" s="12">
        <v>0</v>
      </c>
      <c r="G143" s="12">
        <v>0</v>
      </c>
      <c r="H143" s="12">
        <v>0</v>
      </c>
      <c r="I143" s="12">
        <v>0</v>
      </c>
      <c r="J143" s="12">
        <v>0</v>
      </c>
      <c r="K143" s="12">
        <v>4.4493999999999998</v>
      </c>
      <c r="L143" s="12">
        <v>0</v>
      </c>
      <c r="M143" s="12">
        <v>282.33440000000002</v>
      </c>
      <c r="N143" s="12">
        <v>256.69630000000001</v>
      </c>
      <c r="O143" s="12">
        <v>259.15100000000001</v>
      </c>
    </row>
    <row r="144" spans="1:15" x14ac:dyDescent="0.3">
      <c r="A144" s="25" t="s">
        <v>337</v>
      </c>
      <c r="B144" s="25" t="s">
        <v>611</v>
      </c>
      <c r="C144" s="25" t="s">
        <v>612</v>
      </c>
      <c r="D144" s="25" t="s">
        <v>613</v>
      </c>
      <c r="E144" s="25" t="s">
        <v>144</v>
      </c>
      <c r="F144" s="12">
        <v>1538.9028000000001</v>
      </c>
      <c r="G144" s="12">
        <v>1585.2501</v>
      </c>
      <c r="H144" s="12">
        <v>1897.7492</v>
      </c>
      <c r="I144" s="12">
        <v>1384.8008</v>
      </c>
      <c r="J144" s="12">
        <v>544.80070000000001</v>
      </c>
      <c r="K144" s="12">
        <v>2601.9933000000001</v>
      </c>
      <c r="L144" s="12">
        <v>6140.9445999999998</v>
      </c>
      <c r="M144" s="12">
        <v>3156.6819999999998</v>
      </c>
      <c r="N144" s="12">
        <v>2939.3573999999999</v>
      </c>
      <c r="O144" s="12">
        <v>2094.4317999999998</v>
      </c>
    </row>
    <row r="145" spans="1:15" x14ac:dyDescent="0.3">
      <c r="A145" s="25" t="s">
        <v>337</v>
      </c>
      <c r="B145" s="25" t="s">
        <v>614</v>
      </c>
      <c r="C145" s="25" t="s">
        <v>615</v>
      </c>
      <c r="D145" s="25" t="s">
        <v>616</v>
      </c>
      <c r="E145" s="25" t="s">
        <v>144</v>
      </c>
      <c r="F145" s="12">
        <v>1277.6744000000001</v>
      </c>
      <c r="G145" s="12">
        <v>1485.5070000000001</v>
      </c>
      <c r="H145" s="12">
        <v>1636.8306</v>
      </c>
      <c r="I145" s="12">
        <v>1339.6848</v>
      </c>
      <c r="J145" s="12">
        <v>428.86579999999998</v>
      </c>
      <c r="K145" s="12">
        <v>2515.8885</v>
      </c>
      <c r="L145" s="12">
        <v>3191.6808999999998</v>
      </c>
      <c r="M145" s="12">
        <v>2902.9607000000001</v>
      </c>
      <c r="N145" s="12">
        <v>2868.8688999999999</v>
      </c>
      <c r="O145" s="12">
        <v>1960.8196</v>
      </c>
    </row>
    <row r="146" spans="1:15" x14ac:dyDescent="0.3">
      <c r="A146" s="25" t="s">
        <v>337</v>
      </c>
      <c r="B146" s="25" t="s">
        <v>617</v>
      </c>
      <c r="C146" s="25" t="s">
        <v>618</v>
      </c>
      <c r="D146" s="25" t="s">
        <v>619</v>
      </c>
      <c r="E146" s="25" t="s">
        <v>144</v>
      </c>
      <c r="F146" s="12">
        <v>7.1000000000000004E-3</v>
      </c>
      <c r="G146" s="12">
        <v>7.1000000000000004E-3</v>
      </c>
      <c r="H146" s="12">
        <v>7.1000000000000004E-3</v>
      </c>
      <c r="I146" s="12">
        <v>7.1000000000000004E-3</v>
      </c>
      <c r="J146" s="12">
        <v>1.8599999999999998E-2</v>
      </c>
      <c r="K146" s="12">
        <v>3.2399999999999998E-2</v>
      </c>
      <c r="L146" s="12">
        <v>4.6699999999999998E-2</v>
      </c>
      <c r="M146" s="12">
        <v>5.9400000000000001E-2</v>
      </c>
      <c r="N146" s="12">
        <v>5.9499999999999997E-2</v>
      </c>
      <c r="O146" s="12">
        <v>5.9499999999999997E-2</v>
      </c>
    </row>
    <row r="147" spans="1:15" x14ac:dyDescent="0.3">
      <c r="A147" s="25" t="s">
        <v>337</v>
      </c>
      <c r="B147" s="25" t="s">
        <v>620</v>
      </c>
      <c r="C147" s="25" t="s">
        <v>621</v>
      </c>
      <c r="D147" s="25" t="s">
        <v>622</v>
      </c>
      <c r="E147" s="25" t="s">
        <v>144</v>
      </c>
      <c r="F147" s="12">
        <v>1.0271999999999999</v>
      </c>
      <c r="G147" s="12">
        <v>6.6000000000000003E-2</v>
      </c>
      <c r="H147" s="12">
        <v>2.2000000000000001E-3</v>
      </c>
      <c r="I147" s="12">
        <v>0</v>
      </c>
      <c r="J147" s="12">
        <v>1.2E-2</v>
      </c>
      <c r="K147" s="12">
        <v>0</v>
      </c>
      <c r="L147" s="12">
        <v>0</v>
      </c>
      <c r="M147" s="12">
        <v>0</v>
      </c>
      <c r="N147" s="12">
        <v>0</v>
      </c>
      <c r="O147" s="12">
        <v>0</v>
      </c>
    </row>
    <row r="148" spans="1:15" x14ac:dyDescent="0.3">
      <c r="A148" s="25" t="s">
        <v>623</v>
      </c>
      <c r="B148" s="25" t="s">
        <v>624</v>
      </c>
      <c r="C148" s="25" t="s">
        <v>625</v>
      </c>
      <c r="D148" s="25" t="s">
        <v>626</v>
      </c>
      <c r="E148" s="25" t="s">
        <v>144</v>
      </c>
      <c r="F148" s="12">
        <v>87.725800000000007</v>
      </c>
      <c r="G148" s="12">
        <v>42.741599999999998</v>
      </c>
      <c r="H148" s="12">
        <v>55.489400000000003</v>
      </c>
      <c r="I148" s="12">
        <v>41.544699999999999</v>
      </c>
      <c r="J148" s="12">
        <v>66.466999999999999</v>
      </c>
      <c r="K148" s="12">
        <v>91.022000000000006</v>
      </c>
      <c r="L148" s="12">
        <v>171.0692</v>
      </c>
      <c r="M148" s="12">
        <v>11.6669</v>
      </c>
      <c r="N148" s="12">
        <v>14.171099999999999</v>
      </c>
      <c r="O148" s="12">
        <v>97.436300000000003</v>
      </c>
    </row>
    <row r="149" spans="1:15" x14ac:dyDescent="0.3">
      <c r="A149" s="11" t="s">
        <v>623</v>
      </c>
      <c r="B149" s="11" t="s">
        <v>627</v>
      </c>
      <c r="C149" s="11" t="s">
        <v>628</v>
      </c>
      <c r="D149" s="11" t="s">
        <v>629</v>
      </c>
      <c r="E149" s="11" t="s">
        <v>144</v>
      </c>
      <c r="F149" s="12">
        <v>-94.958500000000001</v>
      </c>
      <c r="G149" s="12">
        <v>7.3662000000000001</v>
      </c>
      <c r="H149" s="12">
        <v>-5.7823000000000002</v>
      </c>
      <c r="I149" s="12">
        <v>11.5007</v>
      </c>
      <c r="J149" s="12">
        <v>-93.126599999999996</v>
      </c>
      <c r="K149" s="12">
        <v>3.7909000000000002</v>
      </c>
      <c r="L149" s="12">
        <v>31.712800000000001</v>
      </c>
      <c r="M149" s="12">
        <v>36.456699999999998</v>
      </c>
      <c r="N149" s="12">
        <v>-95.393100000000004</v>
      </c>
      <c r="O149" s="12">
        <v>13.6127</v>
      </c>
    </row>
    <row r="150" spans="1:15" x14ac:dyDescent="0.3">
      <c r="A150" s="25" t="s">
        <v>623</v>
      </c>
      <c r="B150" s="25" t="s">
        <v>630</v>
      </c>
      <c r="C150" s="25" t="s">
        <v>631</v>
      </c>
      <c r="D150" s="25" t="s">
        <v>632</v>
      </c>
      <c r="E150" s="25" t="s">
        <v>144</v>
      </c>
      <c r="F150" s="12">
        <v>5.7615999999999996</v>
      </c>
      <c r="G150" s="12">
        <v>5.8398000000000003</v>
      </c>
      <c r="H150" s="12">
        <v>6.4435000000000002</v>
      </c>
      <c r="I150" s="12">
        <v>7.8937999999999997</v>
      </c>
      <c r="J150" s="12">
        <v>8.0443999999999996</v>
      </c>
      <c r="K150" s="12">
        <v>8.3798999999999992</v>
      </c>
      <c r="L150" s="12">
        <v>9.2325999999999997</v>
      </c>
      <c r="M150" s="12">
        <v>9.7568999999999999</v>
      </c>
      <c r="N150" s="12">
        <v>9.9628999999999994</v>
      </c>
      <c r="O150" s="12">
        <v>12.504300000000001</v>
      </c>
    </row>
    <row r="151" spans="1:15" x14ac:dyDescent="0.3">
      <c r="A151" s="25" t="s">
        <v>623</v>
      </c>
      <c r="B151" s="25" t="s">
        <v>633</v>
      </c>
      <c r="C151" s="25" t="s">
        <v>634</v>
      </c>
      <c r="D151" s="25" t="s">
        <v>635</v>
      </c>
      <c r="E151" s="25" t="s">
        <v>144</v>
      </c>
      <c r="F151" s="12">
        <v>-27.810300000000002</v>
      </c>
      <c r="G151" s="12">
        <v>6.7544000000000004</v>
      </c>
      <c r="H151" s="12">
        <v>10.371</v>
      </c>
      <c r="I151" s="12">
        <v>8.3155999999999999</v>
      </c>
      <c r="J151" s="12">
        <v>4.8323999999999998</v>
      </c>
      <c r="K151" s="12">
        <v>6.1891999999999996</v>
      </c>
      <c r="L151" s="12">
        <v>-5.8635000000000002</v>
      </c>
      <c r="M151" s="12">
        <v>6.8361999999999998</v>
      </c>
      <c r="N151" s="12">
        <v>3.2313999999999998</v>
      </c>
      <c r="O151" s="12">
        <v>5.7329999999999997</v>
      </c>
    </row>
    <row r="152" spans="1:15" x14ac:dyDescent="0.3">
      <c r="A152" s="25" t="s">
        <v>623</v>
      </c>
      <c r="B152" s="25" t="s">
        <v>636</v>
      </c>
      <c r="C152" s="25" t="s">
        <v>299</v>
      </c>
      <c r="D152" s="25" t="s">
        <v>637</v>
      </c>
      <c r="E152" s="25" t="s">
        <v>144</v>
      </c>
      <c r="F152" s="12">
        <v>9.9060000000000006</v>
      </c>
      <c r="G152" s="12">
        <v>6.5572999999999997</v>
      </c>
      <c r="H152" s="12">
        <v>6.2165999999999997</v>
      </c>
      <c r="I152" s="12">
        <v>5.36</v>
      </c>
      <c r="J152" s="12">
        <v>10.1568</v>
      </c>
      <c r="K152" s="12">
        <v>14.103</v>
      </c>
      <c r="L152" s="12">
        <v>13.8428</v>
      </c>
      <c r="M152" s="12">
        <v>28.724499999999999</v>
      </c>
      <c r="N152" s="12">
        <v>37.747199999999999</v>
      </c>
      <c r="O152" s="12">
        <v>37.464100000000002</v>
      </c>
    </row>
    <row r="153" spans="1:15" x14ac:dyDescent="0.3">
      <c r="A153" s="25" t="s">
        <v>623</v>
      </c>
      <c r="B153" s="25" t="s">
        <v>638</v>
      </c>
      <c r="C153" s="25" t="s">
        <v>639</v>
      </c>
      <c r="D153" s="25" t="s">
        <v>640</v>
      </c>
      <c r="E153" s="25" t="s">
        <v>144</v>
      </c>
      <c r="F153" s="12">
        <v>-1.409</v>
      </c>
      <c r="G153" s="12">
        <v>-1.2395</v>
      </c>
      <c r="H153" s="12">
        <v>-1.0812999999999999</v>
      </c>
      <c r="I153" s="12">
        <v>-0.86250000000000004</v>
      </c>
      <c r="J153" s="12">
        <v>-1.3289</v>
      </c>
      <c r="K153" s="12">
        <v>-1.6946000000000001</v>
      </c>
      <c r="L153" s="12">
        <v>-2.2403</v>
      </c>
      <c r="M153" s="12">
        <v>-2.2685</v>
      </c>
      <c r="N153" s="12">
        <v>-2.2726999999999999</v>
      </c>
      <c r="O153" s="12">
        <v>-2.0041000000000002</v>
      </c>
    </row>
    <row r="154" spans="1:15" x14ac:dyDescent="0.3">
      <c r="A154" s="25" t="s">
        <v>623</v>
      </c>
      <c r="B154" s="25" t="s">
        <v>641</v>
      </c>
      <c r="C154" s="25" t="s">
        <v>642</v>
      </c>
      <c r="D154" s="25" t="s">
        <v>643</v>
      </c>
      <c r="E154" s="25" t="s">
        <v>144</v>
      </c>
      <c r="F154" s="12">
        <v>-81.406800000000004</v>
      </c>
      <c r="G154" s="12">
        <v>-10.5458</v>
      </c>
      <c r="H154" s="12">
        <v>-27.731999999999999</v>
      </c>
      <c r="I154" s="12">
        <v>-9.2060999999999993</v>
      </c>
      <c r="J154" s="12">
        <v>-114.8313</v>
      </c>
      <c r="K154" s="12">
        <v>-23.186599999999999</v>
      </c>
      <c r="L154" s="12">
        <v>16.741399999999999</v>
      </c>
      <c r="M154" s="12">
        <v>-6.5923999999999996</v>
      </c>
      <c r="N154" s="12">
        <v>-144.06180000000001</v>
      </c>
      <c r="O154" s="12">
        <v>-40.084600000000002</v>
      </c>
    </row>
    <row r="155" spans="1:15" x14ac:dyDescent="0.3">
      <c r="A155" s="11" t="s">
        <v>623</v>
      </c>
      <c r="B155" s="11" t="s">
        <v>644</v>
      </c>
      <c r="C155" s="11" t="s">
        <v>645</v>
      </c>
      <c r="D155" s="11" t="s">
        <v>646</v>
      </c>
      <c r="E155" s="11" t="s">
        <v>144</v>
      </c>
      <c r="F155" s="12">
        <v>-4.8516000000000004</v>
      </c>
      <c r="G155" s="12">
        <v>15.1151</v>
      </c>
      <c r="H155" s="12">
        <v>7.4398</v>
      </c>
      <c r="I155" s="12">
        <v>10.554399999999999</v>
      </c>
      <c r="J155" s="12">
        <v>-5.5795000000000003</v>
      </c>
      <c r="K155" s="12">
        <v>-25.601299999999998</v>
      </c>
      <c r="L155" s="12">
        <v>-2.4535</v>
      </c>
      <c r="M155" s="12">
        <v>24.353000000000002</v>
      </c>
      <c r="N155" s="12">
        <v>17.014800000000001</v>
      </c>
      <c r="O155" s="12">
        <v>-0.47989999999999999</v>
      </c>
    </row>
    <row r="156" spans="1:15" x14ac:dyDescent="0.3">
      <c r="A156" s="25" t="s">
        <v>623</v>
      </c>
      <c r="B156" s="25" t="s">
        <v>647</v>
      </c>
      <c r="C156" s="25" t="s">
        <v>648</v>
      </c>
      <c r="D156" s="25" t="s">
        <v>649</v>
      </c>
      <c r="E156" s="25" t="s">
        <v>144</v>
      </c>
      <c r="F156" s="12">
        <v>-4.8516000000000004</v>
      </c>
      <c r="G156" s="12">
        <v>15.1151</v>
      </c>
      <c r="H156" s="12">
        <v>7.4398</v>
      </c>
      <c r="I156" s="12">
        <v>10.554399999999999</v>
      </c>
      <c r="J156" s="12">
        <v>-5.5795000000000003</v>
      </c>
      <c r="K156" s="12">
        <v>-25.601299999999998</v>
      </c>
      <c r="L156" s="12">
        <v>-2.4535</v>
      </c>
      <c r="M156" s="12">
        <v>24.353000000000002</v>
      </c>
      <c r="N156" s="12">
        <v>17.014800000000001</v>
      </c>
      <c r="O156" s="12">
        <v>-0.47989999999999999</v>
      </c>
    </row>
    <row r="157" spans="1:15" x14ac:dyDescent="0.3">
      <c r="A157" s="11" t="s">
        <v>623</v>
      </c>
      <c r="B157" s="11" t="s">
        <v>650</v>
      </c>
      <c r="C157" s="11" t="s">
        <v>651</v>
      </c>
      <c r="D157" s="11" t="s">
        <v>652</v>
      </c>
      <c r="E157" s="11" t="s">
        <v>144</v>
      </c>
      <c r="F157" s="12">
        <v>-3.4188999999999998</v>
      </c>
      <c r="G157" s="12">
        <v>3.4508000000000001</v>
      </c>
      <c r="H157" s="12">
        <v>-8.4199999999999997E-2</v>
      </c>
      <c r="I157" s="12">
        <v>6.0400000000000002E-2</v>
      </c>
      <c r="J157" s="12">
        <v>-8.2258999999999993</v>
      </c>
      <c r="K157" s="12">
        <v>-10.786799999999999</v>
      </c>
      <c r="L157" s="12">
        <v>-10.2348</v>
      </c>
      <c r="M157" s="12">
        <v>28.894600000000001</v>
      </c>
      <c r="N157" s="12">
        <v>1E-3</v>
      </c>
      <c r="O157" s="12">
        <v>-1.6654</v>
      </c>
    </row>
    <row r="158" spans="1:15" x14ac:dyDescent="0.3">
      <c r="A158" s="25" t="s">
        <v>623</v>
      </c>
      <c r="B158" s="25" t="s">
        <v>653</v>
      </c>
      <c r="C158" s="25" t="s">
        <v>654</v>
      </c>
      <c r="D158" s="25" t="s">
        <v>655</v>
      </c>
      <c r="E158" s="25" t="s">
        <v>144</v>
      </c>
      <c r="F158" s="12">
        <v>-3.4188999999999998</v>
      </c>
      <c r="G158" s="12">
        <v>3.4508000000000001</v>
      </c>
      <c r="H158" s="12">
        <v>-8.4199999999999997E-2</v>
      </c>
      <c r="I158" s="12">
        <v>6.0400000000000002E-2</v>
      </c>
      <c r="J158" s="12">
        <v>-8.2258999999999993</v>
      </c>
      <c r="K158" s="12">
        <v>-10.786799999999999</v>
      </c>
      <c r="L158" s="12">
        <v>-10.2348</v>
      </c>
      <c r="M158" s="12">
        <v>28.894600000000001</v>
      </c>
      <c r="N158" s="12">
        <v>1E-3</v>
      </c>
      <c r="O158" s="12">
        <v>-1.6654</v>
      </c>
    </row>
    <row r="159" spans="1:15" x14ac:dyDescent="0.3">
      <c r="A159" s="11" t="s">
        <v>623</v>
      </c>
      <c r="B159" s="11" t="s">
        <v>656</v>
      </c>
      <c r="C159" s="11" t="s">
        <v>657</v>
      </c>
      <c r="D159" s="11" t="s">
        <v>658</v>
      </c>
      <c r="E159" s="11" t="s">
        <v>144</v>
      </c>
      <c r="F159" s="12">
        <v>-1992.3372999999999</v>
      </c>
      <c r="G159" s="12">
        <v>610.02700000000004</v>
      </c>
      <c r="H159" s="12">
        <v>-2259.9582</v>
      </c>
      <c r="I159" s="12">
        <v>679.93579999999997</v>
      </c>
      <c r="J159" s="12">
        <v>-969.15700000000004</v>
      </c>
      <c r="K159" s="12">
        <v>-1189.0455999999999</v>
      </c>
      <c r="L159" s="12">
        <v>-1390.6067</v>
      </c>
      <c r="M159" s="12">
        <v>-1416.7163</v>
      </c>
      <c r="N159" s="12">
        <v>-63.371000000000002</v>
      </c>
      <c r="O159" s="12">
        <v>371.56049999999999</v>
      </c>
    </row>
    <row r="160" spans="1:15" x14ac:dyDescent="0.3">
      <c r="A160" s="25" t="s">
        <v>623</v>
      </c>
      <c r="B160" s="25" t="s">
        <v>659</v>
      </c>
      <c r="C160" s="25" t="s">
        <v>660</v>
      </c>
      <c r="D160" s="25" t="s">
        <v>661</v>
      </c>
      <c r="E160" s="25" t="s">
        <v>144</v>
      </c>
      <c r="F160" s="12">
        <v>-314.37299999999999</v>
      </c>
      <c r="G160" s="12">
        <v>493.56009999999998</v>
      </c>
      <c r="H160" s="12">
        <v>-644.26009999999997</v>
      </c>
      <c r="I160" s="12">
        <v>568.30719999999997</v>
      </c>
      <c r="J160" s="12">
        <v>-373.70269999999999</v>
      </c>
      <c r="K160" s="12">
        <v>-152.53620000000001</v>
      </c>
      <c r="L160" s="12">
        <v>-252.9255</v>
      </c>
      <c r="M160" s="12">
        <v>-1129.5875000000001</v>
      </c>
      <c r="N160" s="12">
        <v>564.53989999999999</v>
      </c>
      <c r="O160" s="12">
        <v>-33.878900000000002</v>
      </c>
    </row>
    <row r="161" spans="1:15" x14ac:dyDescent="0.3">
      <c r="A161" s="25" t="s">
        <v>623</v>
      </c>
      <c r="B161" s="25" t="s">
        <v>662</v>
      </c>
      <c r="C161" s="25" t="s">
        <v>663</v>
      </c>
      <c r="D161" s="25" t="s">
        <v>664</v>
      </c>
      <c r="E161" s="25" t="s">
        <v>144</v>
      </c>
      <c r="F161" s="12">
        <v>-685.0367</v>
      </c>
      <c r="G161" s="12">
        <v>291.27589999999998</v>
      </c>
      <c r="H161" s="12">
        <v>-1150</v>
      </c>
      <c r="I161" s="12">
        <v>-64.413899999999998</v>
      </c>
      <c r="J161" s="12">
        <v>-18.426300000000001</v>
      </c>
      <c r="K161" s="12">
        <v>-585.93719999999996</v>
      </c>
      <c r="L161" s="12">
        <v>-365.05329999999998</v>
      </c>
      <c r="M161" s="12">
        <v>-193.71299999999999</v>
      </c>
      <c r="N161" s="12">
        <v>-600.04</v>
      </c>
      <c r="O161" s="12">
        <v>1152.44</v>
      </c>
    </row>
    <row r="162" spans="1:15" x14ac:dyDescent="0.3">
      <c r="A162" s="25" t="s">
        <v>623</v>
      </c>
      <c r="B162" s="25" t="s">
        <v>665</v>
      </c>
      <c r="C162" s="25" t="s">
        <v>666</v>
      </c>
      <c r="D162" s="25" t="s">
        <v>667</v>
      </c>
      <c r="E162" s="25" t="s">
        <v>144</v>
      </c>
      <c r="F162" s="12">
        <v>-925.75329999999997</v>
      </c>
      <c r="G162" s="12">
        <v>-188.84899999999999</v>
      </c>
      <c r="H162" s="12">
        <v>-504.78820000000002</v>
      </c>
      <c r="I162" s="12">
        <v>220.87370000000001</v>
      </c>
      <c r="J162" s="12">
        <v>-394.11770000000001</v>
      </c>
      <c r="K162" s="12">
        <v>-776.9135</v>
      </c>
      <c r="L162" s="12">
        <v>-697.45029999999997</v>
      </c>
      <c r="M162" s="12">
        <v>-82.124099999999999</v>
      </c>
      <c r="N162" s="12">
        <v>-77.356999999999999</v>
      </c>
      <c r="O162" s="12">
        <v>-393.51659999999998</v>
      </c>
    </row>
    <row r="163" spans="1:15" x14ac:dyDescent="0.3">
      <c r="A163" s="25" t="s">
        <v>623</v>
      </c>
      <c r="B163" s="25" t="s">
        <v>668</v>
      </c>
      <c r="C163" s="25" t="s">
        <v>669</v>
      </c>
      <c r="D163" s="25" t="s">
        <v>670</v>
      </c>
      <c r="E163" s="25" t="s">
        <v>144</v>
      </c>
      <c r="F163" s="12">
        <v>42.265500000000003</v>
      </c>
      <c r="G163" s="12">
        <v>92.387600000000006</v>
      </c>
      <c r="H163" s="12">
        <v>-26.002199999999998</v>
      </c>
      <c r="I163" s="12">
        <v>-53.440899999999999</v>
      </c>
      <c r="J163" s="12">
        <v>154.304</v>
      </c>
      <c r="K163" s="12">
        <v>22.1983</v>
      </c>
      <c r="L163" s="12">
        <v>-26.1876</v>
      </c>
      <c r="M163" s="12">
        <v>-53.618200000000002</v>
      </c>
      <c r="N163" s="12">
        <v>114.06619999999999</v>
      </c>
      <c r="O163" s="12">
        <v>53.289200000000001</v>
      </c>
    </row>
    <row r="164" spans="1:15" x14ac:dyDescent="0.3">
      <c r="A164" s="25" t="s">
        <v>623</v>
      </c>
      <c r="B164" s="25" t="s">
        <v>671</v>
      </c>
      <c r="C164" s="25" t="s">
        <v>672</v>
      </c>
      <c r="D164" s="25" t="s">
        <v>673</v>
      </c>
      <c r="E164" s="25" t="s">
        <v>144</v>
      </c>
      <c r="F164" s="12">
        <v>-0.25580000000000003</v>
      </c>
      <c r="G164" s="12">
        <v>-2.3E-3</v>
      </c>
      <c r="H164" s="12">
        <v>-0.14810000000000001</v>
      </c>
      <c r="I164" s="12">
        <v>-0.25640000000000002</v>
      </c>
      <c r="J164" s="12">
        <v>-0.1857</v>
      </c>
      <c r="K164" s="12">
        <v>-9.2999999999999999E-2</v>
      </c>
      <c r="L164" s="12">
        <v>-1.4857</v>
      </c>
      <c r="M164" s="12">
        <v>-3.8738999999999999</v>
      </c>
      <c r="N164" s="12">
        <v>4.0187999999999997</v>
      </c>
      <c r="O164" s="12">
        <v>-0.13819999999999999</v>
      </c>
    </row>
    <row r="165" spans="1:15" x14ac:dyDescent="0.3">
      <c r="A165" s="25" t="s">
        <v>623</v>
      </c>
      <c r="B165" s="25" t="s">
        <v>674</v>
      </c>
      <c r="C165" s="25" t="s">
        <v>675</v>
      </c>
      <c r="D165" s="25" t="s">
        <v>676</v>
      </c>
      <c r="E165" s="25" t="s">
        <v>144</v>
      </c>
      <c r="F165" s="12">
        <v>-4.2793999999999999</v>
      </c>
      <c r="G165" s="12">
        <v>-97.101600000000005</v>
      </c>
      <c r="H165" s="12">
        <v>93.927400000000006</v>
      </c>
      <c r="I165" s="12">
        <v>6.7934999999999999</v>
      </c>
      <c r="J165" s="12">
        <v>1.8211999999999999</v>
      </c>
      <c r="K165" s="12">
        <v>-3.1463999999999999</v>
      </c>
      <c r="L165" s="12">
        <v>1.6591</v>
      </c>
      <c r="M165" s="12">
        <v>-0.84960000000000002</v>
      </c>
      <c r="N165" s="12">
        <v>-16.0337</v>
      </c>
      <c r="O165" s="12">
        <v>19.956</v>
      </c>
    </row>
    <row r="166" spans="1:15" x14ac:dyDescent="0.3">
      <c r="A166" s="25" t="s">
        <v>623</v>
      </c>
      <c r="B166" s="25" t="s">
        <v>677</v>
      </c>
      <c r="C166" s="25" t="s">
        <v>678</v>
      </c>
      <c r="D166" s="25" t="s">
        <v>679</v>
      </c>
      <c r="E166" s="25" t="s">
        <v>144</v>
      </c>
      <c r="F166" s="12">
        <v>21.017600000000002</v>
      </c>
      <c r="G166" s="12">
        <v>0.8579</v>
      </c>
      <c r="H166" s="12">
        <v>-1.4329000000000001</v>
      </c>
      <c r="I166" s="12">
        <v>1.4056</v>
      </c>
      <c r="J166" s="12">
        <v>-1.0726</v>
      </c>
      <c r="K166" s="12">
        <v>2.3599999999999999E-2</v>
      </c>
      <c r="L166" s="12">
        <v>-1.2702</v>
      </c>
      <c r="M166" s="12">
        <v>0.75149999999999995</v>
      </c>
      <c r="N166" s="12">
        <v>-2.0474000000000001</v>
      </c>
      <c r="O166" s="12">
        <v>-0.49349999999999999</v>
      </c>
    </row>
    <row r="167" spans="1:15" x14ac:dyDescent="0.3">
      <c r="A167" s="25" t="s">
        <v>623</v>
      </c>
      <c r="B167" s="25" t="s">
        <v>680</v>
      </c>
      <c r="C167" s="25" t="s">
        <v>681</v>
      </c>
      <c r="D167" s="25" t="s">
        <v>682</v>
      </c>
      <c r="E167" s="25" t="s">
        <v>144</v>
      </c>
      <c r="F167" s="12">
        <v>38.398699999999998</v>
      </c>
      <c r="G167" s="12">
        <v>36.534100000000002</v>
      </c>
      <c r="H167" s="12">
        <v>42.275500000000001</v>
      </c>
      <c r="I167" s="12">
        <v>67.721900000000005</v>
      </c>
      <c r="J167" s="12">
        <v>67.3065</v>
      </c>
      <c r="K167" s="12">
        <v>69.684399999999997</v>
      </c>
      <c r="L167" s="12">
        <v>98.571600000000004</v>
      </c>
      <c r="M167" s="12">
        <v>115.4318</v>
      </c>
      <c r="N167" s="12">
        <v>119.624</v>
      </c>
      <c r="O167" s="12">
        <v>120.3374</v>
      </c>
    </row>
    <row r="168" spans="1:15" x14ac:dyDescent="0.3">
      <c r="A168" s="25" t="s">
        <v>623</v>
      </c>
      <c r="B168" s="25" t="s">
        <v>683</v>
      </c>
      <c r="C168" s="25" t="s">
        <v>684</v>
      </c>
      <c r="D168" s="25" t="s">
        <v>685</v>
      </c>
      <c r="E168" s="25" t="s">
        <v>144</v>
      </c>
      <c r="F168" s="12">
        <v>-1.9900000000000001E-2</v>
      </c>
      <c r="G168" s="12">
        <v>1.248</v>
      </c>
      <c r="H168" s="12">
        <v>-0.88519999999999999</v>
      </c>
      <c r="I168" s="12">
        <v>-1.0820000000000001</v>
      </c>
      <c r="J168" s="12">
        <v>-1.2513000000000001</v>
      </c>
      <c r="K168" s="12">
        <v>3.6739999999999999</v>
      </c>
      <c r="L168" s="12">
        <v>0.30499999999999999</v>
      </c>
      <c r="M168" s="12">
        <v>-2.1705000000000001</v>
      </c>
      <c r="N168" s="12">
        <v>0.67190000000000005</v>
      </c>
      <c r="O168" s="12">
        <v>-1.4750000000000001</v>
      </c>
    </row>
    <row r="169" spans="1:15" x14ac:dyDescent="0.3">
      <c r="A169" s="25" t="s">
        <v>623</v>
      </c>
      <c r="B169" s="25" t="s">
        <v>686</v>
      </c>
      <c r="C169" s="25" t="s">
        <v>687</v>
      </c>
      <c r="D169" s="25" t="s">
        <v>688</v>
      </c>
      <c r="E169" s="25" t="s">
        <v>144</v>
      </c>
      <c r="F169" s="12">
        <v>-24.6129</v>
      </c>
      <c r="G169" s="12">
        <v>-16.892399999999999</v>
      </c>
      <c r="H169" s="12">
        <v>-9.2698999999999998</v>
      </c>
      <c r="I169" s="12">
        <v>-11.098800000000001</v>
      </c>
      <c r="J169" s="12">
        <v>-8.4695</v>
      </c>
      <c r="K169" s="12">
        <v>-11.7256</v>
      </c>
      <c r="L169" s="12">
        <v>-15.5107</v>
      </c>
      <c r="M169" s="12">
        <v>-32.2151</v>
      </c>
      <c r="N169" s="12">
        <v>-8.1735000000000007</v>
      </c>
      <c r="O169" s="12">
        <v>-2.8445999999999998</v>
      </c>
    </row>
    <row r="170" spans="1:15" x14ac:dyDescent="0.3">
      <c r="A170" s="25" t="s">
        <v>623</v>
      </c>
      <c r="B170" s="25" t="s">
        <v>689</v>
      </c>
      <c r="C170" s="25" t="s">
        <v>690</v>
      </c>
      <c r="D170" s="25" t="s">
        <v>691</v>
      </c>
      <c r="E170" s="25" t="s">
        <v>144</v>
      </c>
      <c r="F170" s="12">
        <v>-41.833500000000001</v>
      </c>
      <c r="G170" s="12">
        <v>-52.563600000000001</v>
      </c>
      <c r="H170" s="12">
        <v>-31.934000000000001</v>
      </c>
      <c r="I170" s="12">
        <v>-80.1203</v>
      </c>
      <c r="J170" s="12">
        <v>-69.818700000000007</v>
      </c>
      <c r="K170" s="12">
        <v>-78.115399999999994</v>
      </c>
      <c r="L170" s="12">
        <v>-109.9653</v>
      </c>
      <c r="M170" s="12">
        <v>-95.626800000000003</v>
      </c>
      <c r="N170" s="12">
        <v>-154.7559</v>
      </c>
      <c r="O170" s="12">
        <v>-164.12289999999999</v>
      </c>
    </row>
    <row r="171" spans="1:15" x14ac:dyDescent="0.3">
      <c r="A171" s="25" t="s">
        <v>623</v>
      </c>
      <c r="B171" s="25" t="s">
        <v>692</v>
      </c>
      <c r="C171" s="25" t="s">
        <v>693</v>
      </c>
      <c r="D171" s="25" t="s">
        <v>694</v>
      </c>
      <c r="E171" s="25" t="s">
        <v>144</v>
      </c>
      <c r="F171" s="12">
        <v>-0.16189999999999999</v>
      </c>
      <c r="G171" s="12">
        <v>2.8001</v>
      </c>
      <c r="H171" s="12">
        <v>-1.5913999999999999</v>
      </c>
      <c r="I171" s="12">
        <v>0.2185</v>
      </c>
      <c r="J171" s="12">
        <v>1.4326000000000001</v>
      </c>
      <c r="K171" s="12">
        <v>3.9445999999999999</v>
      </c>
      <c r="L171" s="12">
        <v>-2.0240999999999998</v>
      </c>
      <c r="M171" s="12">
        <v>-1.1693</v>
      </c>
      <c r="N171" s="12">
        <v>-3.0091999999999999</v>
      </c>
      <c r="O171" s="12">
        <v>2.4342999999999999</v>
      </c>
    </row>
    <row r="172" spans="1:15" x14ac:dyDescent="0.3">
      <c r="A172" s="25" t="s">
        <v>623</v>
      </c>
      <c r="B172" s="25" t="s">
        <v>695</v>
      </c>
      <c r="C172" s="25" t="s">
        <v>696</v>
      </c>
      <c r="D172" s="25" t="s">
        <v>697</v>
      </c>
      <c r="E172" s="25" t="s">
        <v>144</v>
      </c>
      <c r="F172" s="12">
        <v>0.1285</v>
      </c>
      <c r="G172" s="12">
        <v>0.13739999999999999</v>
      </c>
      <c r="H172" s="12">
        <v>0.13550000000000001</v>
      </c>
      <c r="I172" s="12">
        <v>0.12529999999999999</v>
      </c>
      <c r="J172" s="12">
        <v>0.16639999999999999</v>
      </c>
      <c r="K172" s="12">
        <v>0.1709</v>
      </c>
      <c r="L172" s="12">
        <v>0.15359999999999999</v>
      </c>
      <c r="M172" s="12">
        <v>0.13689999999999999</v>
      </c>
      <c r="N172" s="12">
        <v>0.17580000000000001</v>
      </c>
      <c r="O172" s="12">
        <v>0.157</v>
      </c>
    </row>
    <row r="173" spans="1:15" x14ac:dyDescent="0.3">
      <c r="A173" s="25" t="s">
        <v>623</v>
      </c>
      <c r="B173" s="25" t="s">
        <v>698</v>
      </c>
      <c r="C173" s="25" t="s">
        <v>699</v>
      </c>
      <c r="D173" s="25" t="s">
        <v>700</v>
      </c>
      <c r="E173" s="25" t="s">
        <v>144</v>
      </c>
      <c r="F173" s="12">
        <v>5.5510999999999999</v>
      </c>
      <c r="G173" s="12">
        <v>21.494399999999999</v>
      </c>
      <c r="H173" s="12">
        <v>-22.459499999999998</v>
      </c>
      <c r="I173" s="12">
        <v>6.93</v>
      </c>
      <c r="J173" s="12">
        <v>2.5920999999999998</v>
      </c>
      <c r="K173" s="12">
        <v>-2.7250000000000001</v>
      </c>
      <c r="L173" s="12">
        <v>11.5509</v>
      </c>
      <c r="M173" s="12">
        <v>-2.4561000000000002</v>
      </c>
      <c r="N173" s="12">
        <v>-2.5225</v>
      </c>
      <c r="O173" s="12">
        <v>5.9638999999999998</v>
      </c>
    </row>
    <row r="174" spans="1:15" x14ac:dyDescent="0.3">
      <c r="A174" s="25" t="s">
        <v>623</v>
      </c>
      <c r="B174" s="25" t="s">
        <v>701</v>
      </c>
      <c r="C174" s="25" t="s">
        <v>702</v>
      </c>
      <c r="D174" s="25" t="s">
        <v>703</v>
      </c>
      <c r="E174" s="25" t="s">
        <v>144</v>
      </c>
      <c r="F174" s="12">
        <v>-9.2928999999999995</v>
      </c>
      <c r="G174" s="12">
        <v>-1.0676000000000001</v>
      </c>
      <c r="H174" s="12">
        <v>-0.95669999999999999</v>
      </c>
      <c r="I174" s="12">
        <v>13.7211</v>
      </c>
      <c r="J174" s="12">
        <v>-8.4712999999999994</v>
      </c>
      <c r="K174" s="12">
        <v>3.3814000000000002</v>
      </c>
      <c r="L174" s="12">
        <v>13.6416</v>
      </c>
      <c r="M174" s="12">
        <v>12.0968</v>
      </c>
      <c r="N174" s="12">
        <v>-14.7387</v>
      </c>
      <c r="O174" s="12">
        <v>-0.22320000000000001</v>
      </c>
    </row>
    <row r="175" spans="1:15" x14ac:dyDescent="0.3">
      <c r="A175" s="25" t="s">
        <v>623</v>
      </c>
      <c r="B175" s="25" t="s">
        <v>704</v>
      </c>
      <c r="C175" s="25" t="s">
        <v>705</v>
      </c>
      <c r="D175" s="25" t="s">
        <v>706</v>
      </c>
      <c r="E175" s="25" t="s">
        <v>144</v>
      </c>
      <c r="F175" s="12">
        <v>-411.53820000000002</v>
      </c>
      <c r="G175" s="12">
        <v>1.1181000000000001</v>
      </c>
      <c r="H175" s="12">
        <v>-1.4185000000000001</v>
      </c>
      <c r="I175" s="12">
        <v>5.4968000000000004</v>
      </c>
      <c r="J175" s="12">
        <v>-1.4898</v>
      </c>
      <c r="K175" s="12">
        <v>4.1060999999999996</v>
      </c>
      <c r="L175" s="12">
        <v>12.1021</v>
      </c>
      <c r="M175" s="12">
        <v>-4.2115</v>
      </c>
      <c r="N175" s="12">
        <v>4.3380999999999998</v>
      </c>
      <c r="O175" s="12">
        <v>-10.0458</v>
      </c>
    </row>
    <row r="176" spans="1:15" x14ac:dyDescent="0.3">
      <c r="A176" s="25" t="s">
        <v>623</v>
      </c>
      <c r="B176" s="25" t="s">
        <v>707</v>
      </c>
      <c r="C176" s="25" t="s">
        <v>708</v>
      </c>
      <c r="D176" s="25" t="s">
        <v>709</v>
      </c>
      <c r="E176" s="25" t="s">
        <v>144</v>
      </c>
      <c r="F176" s="12">
        <v>0</v>
      </c>
      <c r="G176" s="12">
        <v>0</v>
      </c>
      <c r="H176" s="12">
        <v>0</v>
      </c>
      <c r="I176" s="12">
        <v>0</v>
      </c>
      <c r="J176" s="12">
        <v>0</v>
      </c>
      <c r="K176" s="12">
        <v>0</v>
      </c>
      <c r="L176" s="12">
        <v>0</v>
      </c>
      <c r="M176" s="12">
        <v>0</v>
      </c>
      <c r="N176" s="12">
        <v>10.002000000000001</v>
      </c>
      <c r="O176" s="12">
        <v>150.1789</v>
      </c>
    </row>
    <row r="177" spans="1:15" x14ac:dyDescent="0.3">
      <c r="A177" s="25" t="s">
        <v>623</v>
      </c>
      <c r="B177" s="25" t="s">
        <v>710</v>
      </c>
      <c r="C177" s="25" t="s">
        <v>711</v>
      </c>
      <c r="D177" s="25" t="s">
        <v>712</v>
      </c>
      <c r="E177" s="25" t="s">
        <v>144</v>
      </c>
      <c r="F177" s="12">
        <v>0</v>
      </c>
      <c r="G177" s="12">
        <v>0</v>
      </c>
      <c r="H177" s="12">
        <v>0</v>
      </c>
      <c r="I177" s="12">
        <v>0</v>
      </c>
      <c r="J177" s="12">
        <v>0</v>
      </c>
      <c r="K177" s="12">
        <v>0</v>
      </c>
      <c r="L177" s="12">
        <v>0</v>
      </c>
      <c r="M177" s="12">
        <v>0</v>
      </c>
      <c r="N177" s="12">
        <v>10.002000000000001</v>
      </c>
      <c r="O177" s="12">
        <v>150.1789</v>
      </c>
    </row>
    <row r="178" spans="1:15" x14ac:dyDescent="0.3">
      <c r="A178" s="25" t="s">
        <v>623</v>
      </c>
      <c r="B178" s="25" t="s">
        <v>713</v>
      </c>
      <c r="C178" s="25" t="s">
        <v>714</v>
      </c>
      <c r="D178" s="25" t="s">
        <v>715</v>
      </c>
      <c r="E178" s="25" t="s">
        <v>144</v>
      </c>
      <c r="F178" s="12">
        <v>-2.5863</v>
      </c>
      <c r="G178" s="12">
        <v>-5.0000000000000001E-3</v>
      </c>
      <c r="H178" s="12">
        <v>-0.93</v>
      </c>
      <c r="I178" s="12">
        <v>-0.93200000000000005</v>
      </c>
      <c r="J178" s="12">
        <v>-1.8543000000000001</v>
      </c>
      <c r="K178" s="12">
        <v>-4.8999999999999998E-3</v>
      </c>
      <c r="L178" s="12">
        <v>-2.9445999999999999</v>
      </c>
      <c r="M178" s="12">
        <v>-0.77600000000000002</v>
      </c>
      <c r="N178" s="12">
        <v>-1.2784</v>
      </c>
      <c r="O178" s="12">
        <v>-477.0872</v>
      </c>
    </row>
    <row r="179" spans="1:15" x14ac:dyDescent="0.3">
      <c r="A179" s="25" t="s">
        <v>623</v>
      </c>
      <c r="B179" s="25" t="s">
        <v>716</v>
      </c>
      <c r="C179" s="25" t="s">
        <v>717</v>
      </c>
      <c r="D179" s="25" t="s">
        <v>276</v>
      </c>
      <c r="E179" s="25" t="s">
        <v>144</v>
      </c>
      <c r="F179" s="12">
        <v>-2.5863</v>
      </c>
      <c r="G179" s="12">
        <v>-5.0000000000000001E-3</v>
      </c>
      <c r="H179" s="12">
        <v>-0.93</v>
      </c>
      <c r="I179" s="12">
        <v>-0.93200000000000005</v>
      </c>
      <c r="J179" s="12">
        <v>-1.8543000000000001</v>
      </c>
      <c r="K179" s="12">
        <v>-4.8999999999999998E-3</v>
      </c>
      <c r="L179" s="12">
        <v>-2.9445999999999999</v>
      </c>
      <c r="M179" s="12">
        <v>-0.77600000000000002</v>
      </c>
      <c r="N179" s="12">
        <v>-1.2784</v>
      </c>
      <c r="O179" s="12">
        <v>-477.0872</v>
      </c>
    </row>
    <row r="180" spans="1:15" x14ac:dyDescent="0.3">
      <c r="A180" s="25" t="s">
        <v>623</v>
      </c>
      <c r="B180" s="25" t="s">
        <v>718</v>
      </c>
      <c r="C180" s="25" t="s">
        <v>719</v>
      </c>
      <c r="D180" s="25" t="s">
        <v>720</v>
      </c>
      <c r="E180" s="25" t="s">
        <v>144</v>
      </c>
      <c r="F180" s="12">
        <v>-1584.1004</v>
      </c>
      <c r="G180" s="12">
        <v>621.93970000000002</v>
      </c>
      <c r="H180" s="12">
        <v>-2300.701</v>
      </c>
      <c r="I180" s="12">
        <v>725.85919999999999</v>
      </c>
      <c r="J180" s="12">
        <v>-1105.2392</v>
      </c>
      <c r="K180" s="12">
        <v>-1200.395</v>
      </c>
      <c r="L180" s="12">
        <v>-1370.4726000000001</v>
      </c>
      <c r="M180" s="12">
        <v>-1347.4149</v>
      </c>
      <c r="N180" s="12">
        <v>-115.7561</v>
      </c>
      <c r="O180" s="12">
        <v>675.18089999999995</v>
      </c>
    </row>
    <row r="181" spans="1:15" x14ac:dyDescent="0.3">
      <c r="A181" s="25" t="s">
        <v>623</v>
      </c>
      <c r="B181" s="25" t="s">
        <v>721</v>
      </c>
      <c r="C181" s="25" t="s">
        <v>722</v>
      </c>
      <c r="D181" s="25" t="s">
        <v>723</v>
      </c>
      <c r="E181" s="25" t="s">
        <v>144</v>
      </c>
      <c r="F181" s="12">
        <v>320.04509999999999</v>
      </c>
      <c r="G181" s="12">
        <v>25.094899999999999</v>
      </c>
      <c r="H181" s="12">
        <v>-0.2198</v>
      </c>
      <c r="I181" s="12">
        <v>-0.31340000000000001</v>
      </c>
      <c r="J181" s="12">
        <v>-317.91980000000001</v>
      </c>
      <c r="K181" s="12">
        <v>314.96839999999997</v>
      </c>
      <c r="L181" s="12">
        <v>-53.773299999999999</v>
      </c>
      <c r="M181" s="12">
        <v>57.258200000000002</v>
      </c>
      <c r="N181" s="12">
        <v>-0.85160000000000002</v>
      </c>
      <c r="O181" s="12">
        <v>-49.37</v>
      </c>
    </row>
    <row r="182" spans="1:15" x14ac:dyDescent="0.3">
      <c r="A182" s="11" t="s">
        <v>623</v>
      </c>
      <c r="B182" s="11" t="s">
        <v>724</v>
      </c>
      <c r="C182" s="11" t="s">
        <v>725</v>
      </c>
      <c r="D182" s="11" t="s">
        <v>726</v>
      </c>
      <c r="E182" s="11" t="s">
        <v>144</v>
      </c>
      <c r="F182" s="12">
        <v>-2007.8406</v>
      </c>
      <c r="G182" s="12">
        <v>678.70079999999996</v>
      </c>
      <c r="H182" s="12">
        <v>-2202.8955000000001</v>
      </c>
      <c r="I182" s="12">
        <v>743.59609999999998</v>
      </c>
      <c r="J182" s="12">
        <v>-1009.622</v>
      </c>
      <c r="K182" s="12">
        <v>-1130.6208999999999</v>
      </c>
      <c r="L182" s="12">
        <v>-1200.5128999999999</v>
      </c>
      <c r="M182" s="12">
        <v>-1315.3452</v>
      </c>
      <c r="N182" s="12">
        <v>-127.57729999999999</v>
      </c>
      <c r="O182" s="12">
        <v>480.46429999999998</v>
      </c>
    </row>
    <row r="183" spans="1:15" x14ac:dyDescent="0.3">
      <c r="A183" s="25" t="s">
        <v>623</v>
      </c>
      <c r="B183" s="25" t="s">
        <v>727</v>
      </c>
      <c r="C183" s="25" t="s">
        <v>728</v>
      </c>
      <c r="D183" s="25" t="s">
        <v>729</v>
      </c>
      <c r="E183" s="25" t="s">
        <v>144</v>
      </c>
      <c r="F183" s="12">
        <v>-0.30199999999999999</v>
      </c>
      <c r="G183" s="12">
        <v>-3.1772</v>
      </c>
      <c r="H183" s="12">
        <v>-2.1926000000000001</v>
      </c>
      <c r="I183" s="12">
        <v>-10.455299999999999</v>
      </c>
      <c r="J183" s="12">
        <v>-2.0581999999999998</v>
      </c>
      <c r="K183" s="12">
        <v>-9.3767999999999994</v>
      </c>
      <c r="L183" s="12">
        <v>4.3251999999999997</v>
      </c>
      <c r="M183" s="12">
        <v>-15.988</v>
      </c>
      <c r="N183" s="12">
        <v>-5.9474</v>
      </c>
      <c r="O183" s="12">
        <v>1.0148999999999999</v>
      </c>
    </row>
    <row r="184" spans="1:15" x14ac:dyDescent="0.3">
      <c r="A184" s="25" t="s">
        <v>623</v>
      </c>
      <c r="B184" s="25" t="s">
        <v>730</v>
      </c>
      <c r="C184" s="25" t="s">
        <v>731</v>
      </c>
      <c r="D184" s="25" t="s">
        <v>732</v>
      </c>
      <c r="E184" s="25" t="s">
        <v>144</v>
      </c>
      <c r="F184" s="12">
        <v>0</v>
      </c>
      <c r="G184" s="12">
        <v>0</v>
      </c>
      <c r="H184" s="12">
        <v>0</v>
      </c>
      <c r="I184" s="12">
        <v>0.95909999999999995</v>
      </c>
      <c r="J184" s="12">
        <v>0</v>
      </c>
      <c r="K184" s="12">
        <v>0</v>
      </c>
      <c r="L184" s="12">
        <v>0</v>
      </c>
      <c r="M184" s="12">
        <v>0</v>
      </c>
      <c r="N184" s="12">
        <v>0</v>
      </c>
      <c r="O184" s="12">
        <v>0</v>
      </c>
    </row>
    <row r="185" spans="1:15" x14ac:dyDescent="0.3">
      <c r="A185" s="25" t="s">
        <v>623</v>
      </c>
      <c r="B185" s="25" t="s">
        <v>733</v>
      </c>
      <c r="C185" s="25" t="s">
        <v>734</v>
      </c>
      <c r="D185" s="25" t="s">
        <v>735</v>
      </c>
      <c r="E185" s="25" t="s">
        <v>144</v>
      </c>
      <c r="F185" s="12">
        <v>1.409</v>
      </c>
      <c r="G185" s="12">
        <v>1.2395</v>
      </c>
      <c r="H185" s="12">
        <v>1.0812999999999999</v>
      </c>
      <c r="I185" s="12">
        <v>1.2141</v>
      </c>
      <c r="J185" s="12">
        <v>1.3289</v>
      </c>
      <c r="K185" s="12">
        <v>1.6946000000000001</v>
      </c>
      <c r="L185" s="12">
        <v>2.2403</v>
      </c>
      <c r="M185" s="12">
        <v>2.2685</v>
      </c>
      <c r="N185" s="12">
        <v>2.2726999999999999</v>
      </c>
      <c r="O185" s="12">
        <v>2.0041000000000002</v>
      </c>
    </row>
    <row r="186" spans="1:15" x14ac:dyDescent="0.3">
      <c r="A186" s="11" t="s">
        <v>623</v>
      </c>
      <c r="B186" s="11" t="s">
        <v>736</v>
      </c>
      <c r="C186" s="11" t="s">
        <v>737</v>
      </c>
      <c r="D186" s="11" t="s">
        <v>738</v>
      </c>
      <c r="E186" s="11" t="s">
        <v>144</v>
      </c>
      <c r="F186" s="12">
        <v>1.1071</v>
      </c>
      <c r="G186" s="12">
        <v>-1.9377</v>
      </c>
      <c r="H186" s="12">
        <v>-1.1113</v>
      </c>
      <c r="I186" s="12">
        <v>-8.2820999999999998</v>
      </c>
      <c r="J186" s="12">
        <v>-0.72929999999999995</v>
      </c>
      <c r="K186" s="12">
        <v>-7.6821999999999999</v>
      </c>
      <c r="L186" s="12">
        <v>6.5655000000000001</v>
      </c>
      <c r="M186" s="12">
        <v>-13.7195</v>
      </c>
      <c r="N186" s="12">
        <v>-3.6747000000000001</v>
      </c>
      <c r="O186" s="12">
        <v>3.0190000000000001</v>
      </c>
    </row>
    <row r="187" spans="1:15" x14ac:dyDescent="0.3">
      <c r="A187" s="25" t="s">
        <v>623</v>
      </c>
      <c r="B187" s="25" t="s">
        <v>739</v>
      </c>
      <c r="C187" s="25" t="s">
        <v>740</v>
      </c>
      <c r="D187" s="25" t="s">
        <v>741</v>
      </c>
      <c r="E187" s="25" t="s">
        <v>144</v>
      </c>
      <c r="F187" s="12">
        <v>872.68420000000003</v>
      </c>
      <c r="G187" s="12">
        <v>0</v>
      </c>
      <c r="H187" s="12">
        <v>0</v>
      </c>
      <c r="I187" s="12">
        <v>0</v>
      </c>
      <c r="J187" s="12">
        <v>0</v>
      </c>
      <c r="K187" s="12">
        <v>0</v>
      </c>
      <c r="L187" s="12">
        <v>0</v>
      </c>
      <c r="M187" s="12">
        <v>0</v>
      </c>
      <c r="N187" s="12">
        <v>1284.6090999999999</v>
      </c>
      <c r="O187" s="12">
        <v>0</v>
      </c>
    </row>
    <row r="188" spans="1:15" x14ac:dyDescent="0.3">
      <c r="A188" s="25" t="s">
        <v>623</v>
      </c>
      <c r="B188" s="25" t="s">
        <v>742</v>
      </c>
      <c r="C188" s="25" t="s">
        <v>743</v>
      </c>
      <c r="D188" s="25" t="s">
        <v>744</v>
      </c>
      <c r="E188" s="25" t="s">
        <v>144</v>
      </c>
      <c r="F188" s="12">
        <v>4457.1304</v>
      </c>
      <c r="G188" s="12">
        <v>5817.6130000000003</v>
      </c>
      <c r="H188" s="12">
        <v>3770.4333999999999</v>
      </c>
      <c r="I188" s="12">
        <v>15030.524600000001</v>
      </c>
      <c r="J188" s="12">
        <v>10642.1824</v>
      </c>
      <c r="K188" s="12">
        <v>13041.915800000001</v>
      </c>
      <c r="L188" s="12">
        <v>14397.937400000001</v>
      </c>
      <c r="M188" s="12">
        <v>11629.4655</v>
      </c>
      <c r="N188" s="12">
        <v>11005.297</v>
      </c>
      <c r="O188" s="12">
        <v>1592.7175</v>
      </c>
    </row>
    <row r="189" spans="1:15" x14ac:dyDescent="0.3">
      <c r="A189" s="25" t="s">
        <v>623</v>
      </c>
      <c r="B189" s="25" t="s">
        <v>745</v>
      </c>
      <c r="C189" s="25" t="s">
        <v>746</v>
      </c>
      <c r="D189" s="25" t="s">
        <v>747</v>
      </c>
      <c r="E189" s="25" t="s">
        <v>144</v>
      </c>
      <c r="F189" s="12">
        <v>4457.1304</v>
      </c>
      <c r="G189" s="12">
        <v>5817.6130000000003</v>
      </c>
      <c r="H189" s="12">
        <v>3770.4333999999999</v>
      </c>
      <c r="I189" s="12">
        <v>15030.524600000001</v>
      </c>
      <c r="J189" s="12">
        <v>10642.1824</v>
      </c>
      <c r="K189" s="12">
        <v>13041.915800000001</v>
      </c>
      <c r="L189" s="12">
        <v>14397.937400000001</v>
      </c>
      <c r="M189" s="12">
        <v>11629.4655</v>
      </c>
      <c r="N189" s="12">
        <v>11005.297</v>
      </c>
      <c r="O189" s="12">
        <v>1592.7175</v>
      </c>
    </row>
    <row r="190" spans="1:15" x14ac:dyDescent="0.3">
      <c r="A190" s="25" t="s">
        <v>623</v>
      </c>
      <c r="B190" s="25" t="s">
        <v>748</v>
      </c>
      <c r="C190" s="25" t="s">
        <v>749</v>
      </c>
      <c r="D190" s="25" t="s">
        <v>750</v>
      </c>
      <c r="E190" s="25" t="s">
        <v>144</v>
      </c>
      <c r="F190" s="12">
        <v>-3194.1260000000002</v>
      </c>
      <c r="G190" s="12">
        <v>-6024.6122999999998</v>
      </c>
      <c r="H190" s="12">
        <v>-2344.5147999999999</v>
      </c>
      <c r="I190" s="12">
        <v>-14661.2073</v>
      </c>
      <c r="J190" s="12">
        <v>-10186.5967</v>
      </c>
      <c r="K190" s="12">
        <v>-12368.2202</v>
      </c>
      <c r="L190" s="12">
        <v>-12524.1991</v>
      </c>
      <c r="M190" s="12">
        <v>-10526.7572</v>
      </c>
      <c r="N190" s="12">
        <v>-11628.922500000001</v>
      </c>
      <c r="O190" s="12">
        <v>-2022.9528</v>
      </c>
    </row>
    <row r="191" spans="1:15" x14ac:dyDescent="0.3">
      <c r="A191" s="25" t="s">
        <v>623</v>
      </c>
      <c r="B191" s="25" t="s">
        <v>751</v>
      </c>
      <c r="C191" s="25" t="s">
        <v>752</v>
      </c>
      <c r="D191" s="25" t="s">
        <v>753</v>
      </c>
      <c r="E191" s="25" t="s">
        <v>144</v>
      </c>
      <c r="F191" s="12">
        <v>-3194.1260000000002</v>
      </c>
      <c r="G191" s="12">
        <v>-6024.6122999999998</v>
      </c>
      <c r="H191" s="12">
        <v>-2344.5147999999999</v>
      </c>
      <c r="I191" s="12">
        <v>-14661.2073</v>
      </c>
      <c r="J191" s="12">
        <v>-10186.5967</v>
      </c>
      <c r="K191" s="12">
        <v>-12368.2202</v>
      </c>
      <c r="L191" s="12">
        <v>-12524.1991</v>
      </c>
      <c r="M191" s="12">
        <v>-10526.7572</v>
      </c>
      <c r="N191" s="12">
        <v>-11628.922500000001</v>
      </c>
      <c r="O191" s="12">
        <v>-2022.9528</v>
      </c>
    </row>
    <row r="192" spans="1:15" x14ac:dyDescent="0.3">
      <c r="A192" s="25" t="s">
        <v>623</v>
      </c>
      <c r="B192" s="25" t="s">
        <v>754</v>
      </c>
      <c r="C192" s="25" t="s">
        <v>755</v>
      </c>
      <c r="D192" s="25" t="s">
        <v>756</v>
      </c>
      <c r="E192" s="25" t="s">
        <v>144</v>
      </c>
      <c r="F192" s="12">
        <v>-1.2697000000000001</v>
      </c>
      <c r="G192" s="12">
        <v>-1.2697000000000001</v>
      </c>
      <c r="H192" s="12">
        <v>-1.6375999999999999</v>
      </c>
      <c r="I192" s="12">
        <v>-3.1989000000000001</v>
      </c>
      <c r="J192" s="12">
        <v>-3.3778999999999999</v>
      </c>
      <c r="K192" s="12">
        <v>-3.7755000000000001</v>
      </c>
      <c r="L192" s="12">
        <v>-4.2606000000000002</v>
      </c>
      <c r="M192" s="12">
        <v>-5.2305999999999999</v>
      </c>
      <c r="N192" s="12">
        <v>-5.2305999999999999</v>
      </c>
      <c r="O192" s="12">
        <v>-6.5838000000000001</v>
      </c>
    </row>
    <row r="193" spans="1:15" x14ac:dyDescent="0.3">
      <c r="A193" s="25" t="s">
        <v>623</v>
      </c>
      <c r="B193" s="25" t="s">
        <v>757</v>
      </c>
      <c r="C193" s="25" t="s">
        <v>758</v>
      </c>
      <c r="D193" s="25" t="s">
        <v>759</v>
      </c>
      <c r="E193" s="25" t="s">
        <v>144</v>
      </c>
      <c r="F193" s="12">
        <v>0</v>
      </c>
      <c r="G193" s="12">
        <v>-165</v>
      </c>
      <c r="H193" s="12">
        <v>0</v>
      </c>
      <c r="I193" s="12">
        <v>-165</v>
      </c>
      <c r="J193" s="12">
        <v>0</v>
      </c>
      <c r="K193" s="12">
        <v>0</v>
      </c>
      <c r="L193" s="12">
        <v>0</v>
      </c>
      <c r="M193" s="12">
        <v>0</v>
      </c>
      <c r="N193" s="12">
        <v>-239.82</v>
      </c>
      <c r="O193" s="12">
        <v>0</v>
      </c>
    </row>
    <row r="194" spans="1:15" x14ac:dyDescent="0.3">
      <c r="A194" s="11" t="s">
        <v>623</v>
      </c>
      <c r="B194" s="11" t="s">
        <v>760</v>
      </c>
      <c r="C194" s="11" t="s">
        <v>761</v>
      </c>
      <c r="D194" s="11" t="s">
        <v>762</v>
      </c>
      <c r="E194" s="11" t="s">
        <v>144</v>
      </c>
      <c r="F194" s="12">
        <v>2134.4189000000001</v>
      </c>
      <c r="G194" s="12">
        <v>-373.26900000000001</v>
      </c>
      <c r="H194" s="12">
        <v>1424.2810999999999</v>
      </c>
      <c r="I194" s="12">
        <v>201.11850000000001</v>
      </c>
      <c r="J194" s="12">
        <v>452.20780000000002</v>
      </c>
      <c r="K194" s="12">
        <v>669.92010000000005</v>
      </c>
      <c r="L194" s="12">
        <v>1869.4776999999999</v>
      </c>
      <c r="M194" s="12">
        <v>1097.4776999999999</v>
      </c>
      <c r="N194" s="12">
        <v>415.93299999999999</v>
      </c>
      <c r="O194" s="12">
        <v>-436.81909999999999</v>
      </c>
    </row>
    <row r="195" spans="1:15" x14ac:dyDescent="0.3">
      <c r="A195" s="11" t="s">
        <v>623</v>
      </c>
      <c r="B195" s="11" t="s">
        <v>763</v>
      </c>
      <c r="C195" s="11" t="s">
        <v>764</v>
      </c>
      <c r="D195" s="11" t="s">
        <v>765</v>
      </c>
      <c r="E195" s="11" t="s">
        <v>144</v>
      </c>
      <c r="F195" s="12">
        <v>127.6854</v>
      </c>
      <c r="G195" s="12">
        <v>303.49400000000003</v>
      </c>
      <c r="H195" s="12">
        <v>-779.72559999999999</v>
      </c>
      <c r="I195" s="12">
        <v>936.43240000000003</v>
      </c>
      <c r="J195" s="12">
        <v>-558.14359999999999</v>
      </c>
      <c r="K195" s="12">
        <v>-468.38310000000001</v>
      </c>
      <c r="L195" s="12">
        <v>675.53020000000004</v>
      </c>
      <c r="M195" s="12">
        <v>-231.58699999999999</v>
      </c>
      <c r="N195" s="12">
        <v>284.68099999999998</v>
      </c>
      <c r="O195" s="12">
        <v>46.664200000000001</v>
      </c>
    </row>
    <row r="196" spans="1:15" x14ac:dyDescent="0.3">
      <c r="A196" s="11" t="s">
        <v>623</v>
      </c>
      <c r="B196" s="11" t="s">
        <v>766</v>
      </c>
      <c r="C196" s="11" t="s">
        <v>767</v>
      </c>
      <c r="D196" s="11" t="s">
        <v>768</v>
      </c>
      <c r="E196" s="11" t="s">
        <v>144</v>
      </c>
      <c r="F196" s="12">
        <v>505.27589999999998</v>
      </c>
      <c r="G196" s="12">
        <v>632.96130000000005</v>
      </c>
      <c r="H196" s="12">
        <v>936.45540000000005</v>
      </c>
      <c r="I196" s="12">
        <v>156.72970000000001</v>
      </c>
      <c r="J196" s="12">
        <v>1093.1621</v>
      </c>
      <c r="K196" s="12">
        <v>535.01859999999999</v>
      </c>
      <c r="L196" s="12">
        <v>66.635499999999993</v>
      </c>
      <c r="M196" s="12">
        <v>742.16579999999999</v>
      </c>
      <c r="N196" s="12">
        <v>510.5788</v>
      </c>
      <c r="O196" s="12">
        <v>795.25980000000004</v>
      </c>
    </row>
    <row r="197" spans="1:15" x14ac:dyDescent="0.3">
      <c r="A197" s="25" t="s">
        <v>623</v>
      </c>
      <c r="B197" s="25" t="s">
        <v>769</v>
      </c>
      <c r="C197" s="25" t="s">
        <v>770</v>
      </c>
      <c r="D197" s="25" t="s">
        <v>771</v>
      </c>
      <c r="E197" s="25" t="s">
        <v>144</v>
      </c>
      <c r="F197" s="12">
        <v>505.27589999999998</v>
      </c>
      <c r="G197" s="12">
        <v>545.54729999999995</v>
      </c>
      <c r="H197" s="12">
        <v>886.45540000000005</v>
      </c>
      <c r="I197" s="12">
        <v>156.72970000000001</v>
      </c>
      <c r="J197" s="12">
        <v>943.16210000000001</v>
      </c>
      <c r="K197" s="12">
        <v>535.01859999999999</v>
      </c>
      <c r="L197" s="12">
        <v>66.635499999999993</v>
      </c>
      <c r="M197" s="12">
        <v>742.16579999999999</v>
      </c>
      <c r="N197" s="12">
        <v>510.5788</v>
      </c>
      <c r="O197" s="12">
        <v>795.25980000000004</v>
      </c>
    </row>
    <row r="198" spans="1:15" x14ac:dyDescent="0.3">
      <c r="A198" s="25" t="s">
        <v>623</v>
      </c>
      <c r="B198" s="25" t="s">
        <v>772</v>
      </c>
      <c r="C198" s="25" t="s">
        <v>773</v>
      </c>
      <c r="D198" s="25" t="s">
        <v>774</v>
      </c>
      <c r="E198" s="25" t="s">
        <v>144</v>
      </c>
      <c r="F198" s="12">
        <v>0</v>
      </c>
      <c r="G198" s="12">
        <v>87.414000000000001</v>
      </c>
      <c r="H198" s="12">
        <v>50</v>
      </c>
      <c r="I198" s="12">
        <v>0</v>
      </c>
      <c r="J198" s="12">
        <v>150</v>
      </c>
      <c r="K198" s="12">
        <v>0</v>
      </c>
      <c r="L198" s="12">
        <v>0</v>
      </c>
      <c r="M198" s="12">
        <v>0</v>
      </c>
      <c r="N198" s="12">
        <v>0</v>
      </c>
      <c r="O198" s="12">
        <v>0</v>
      </c>
    </row>
    <row r="199" spans="1:15" x14ac:dyDescent="0.3">
      <c r="A199" s="11" t="s">
        <v>623</v>
      </c>
      <c r="B199" s="11" t="s">
        <v>775</v>
      </c>
      <c r="C199" s="11" t="s">
        <v>776</v>
      </c>
      <c r="D199" s="11" t="s">
        <v>777</v>
      </c>
      <c r="E199" s="11" t="s">
        <v>144</v>
      </c>
      <c r="F199" s="12">
        <v>632.96130000000005</v>
      </c>
      <c r="G199" s="12">
        <v>936.45540000000005</v>
      </c>
      <c r="H199" s="12">
        <v>156.72970000000001</v>
      </c>
      <c r="I199" s="12">
        <v>1093.1621</v>
      </c>
      <c r="J199" s="12">
        <v>535.01859999999999</v>
      </c>
      <c r="K199" s="12">
        <v>66.635499999999993</v>
      </c>
      <c r="L199" s="12">
        <v>742.16579999999999</v>
      </c>
      <c r="M199" s="12">
        <v>510.5788</v>
      </c>
      <c r="N199" s="12">
        <v>795.25980000000004</v>
      </c>
      <c r="O199" s="12">
        <v>841.92399999999998</v>
      </c>
    </row>
    <row r="200" spans="1:15" x14ac:dyDescent="0.3">
      <c r="A200" s="25" t="s">
        <v>623</v>
      </c>
      <c r="B200" s="25" t="s">
        <v>778</v>
      </c>
      <c r="C200" s="25" t="s">
        <v>779</v>
      </c>
      <c r="D200" s="25" t="s">
        <v>780</v>
      </c>
      <c r="E200" s="25" t="s">
        <v>144</v>
      </c>
      <c r="F200" s="12">
        <v>545.54729999999995</v>
      </c>
      <c r="G200" s="12">
        <v>886.45540000000005</v>
      </c>
      <c r="H200" s="12">
        <v>156.72970000000001</v>
      </c>
      <c r="I200" s="12">
        <v>943.16210000000001</v>
      </c>
      <c r="J200" s="12">
        <v>535.01859999999999</v>
      </c>
      <c r="K200" s="12">
        <v>66.635499999999993</v>
      </c>
      <c r="L200" s="12">
        <v>742.16579999999999</v>
      </c>
      <c r="M200" s="12">
        <v>510.5788</v>
      </c>
      <c r="N200" s="12">
        <v>795.25980000000004</v>
      </c>
      <c r="O200" s="12">
        <v>841.92399999999998</v>
      </c>
    </row>
    <row r="201" spans="1:15" x14ac:dyDescent="0.3">
      <c r="A201" s="25" t="s">
        <v>623</v>
      </c>
      <c r="B201" s="25" t="s">
        <v>781</v>
      </c>
      <c r="C201" s="25" t="s">
        <v>773</v>
      </c>
      <c r="D201" s="25" t="s">
        <v>774</v>
      </c>
      <c r="E201" s="25" t="s">
        <v>144</v>
      </c>
      <c r="F201" s="12">
        <v>87.414000000000001</v>
      </c>
      <c r="G201" s="12">
        <v>50</v>
      </c>
      <c r="H201" s="12">
        <v>0</v>
      </c>
      <c r="I201" s="12">
        <v>150</v>
      </c>
      <c r="J201" s="12">
        <v>0</v>
      </c>
      <c r="K201" s="12">
        <v>0</v>
      </c>
      <c r="L201" s="12">
        <v>0</v>
      </c>
      <c r="M201" s="12">
        <v>0</v>
      </c>
      <c r="N201" s="12">
        <v>0</v>
      </c>
      <c r="O201" s="12">
        <v>0</v>
      </c>
    </row>
    <row r="202" spans="1:15" x14ac:dyDescent="0.3">
      <c r="A202" s="25" t="s">
        <v>623</v>
      </c>
      <c r="B202" s="25" t="s">
        <v>782</v>
      </c>
      <c r="C202" s="25" t="s">
        <v>783</v>
      </c>
      <c r="D202" s="25" t="s">
        <v>784</v>
      </c>
      <c r="E202" s="25" t="s">
        <v>144</v>
      </c>
      <c r="F202" s="12">
        <v>15765.998100000001</v>
      </c>
      <c r="G202" s="12">
        <v>25969.536800000002</v>
      </c>
      <c r="H202" s="12">
        <v>16246.31</v>
      </c>
      <c r="I202" s="12">
        <v>16712.792000000001</v>
      </c>
      <c r="J202" s="12">
        <v>18202.425800000001</v>
      </c>
      <c r="K202" s="12">
        <v>25998.762699999999</v>
      </c>
      <c r="L202" s="12">
        <v>56117.371500000001</v>
      </c>
      <c r="M202" s="12">
        <v>36464.438199999997</v>
      </c>
      <c r="N202" s="12">
        <v>37123.284899999999</v>
      </c>
      <c r="O202" s="12">
        <v>32759.771199999999</v>
      </c>
    </row>
    <row r="203" spans="1:15" x14ac:dyDescent="0.3">
      <c r="A203" s="25" t="s">
        <v>623</v>
      </c>
      <c r="B203" s="25" t="s">
        <v>785</v>
      </c>
      <c r="C203" s="25" t="s">
        <v>786</v>
      </c>
      <c r="D203" s="25" t="s">
        <v>787</v>
      </c>
      <c r="E203" s="25" t="s">
        <v>144</v>
      </c>
      <c r="F203" s="12">
        <v>-17191.830000000002</v>
      </c>
      <c r="G203" s="12">
        <v>-22113.089</v>
      </c>
      <c r="H203" s="12">
        <v>-15979.3143</v>
      </c>
      <c r="I203" s="12">
        <v>-16340.953600000001</v>
      </c>
      <c r="J203" s="12">
        <v>-18471.638900000002</v>
      </c>
      <c r="K203" s="12">
        <v>-26750.1731</v>
      </c>
      <c r="L203" s="12">
        <v>-55974.559399999998</v>
      </c>
      <c r="M203" s="12">
        <v>-34764.939100000003</v>
      </c>
      <c r="N203" s="12">
        <v>-36735.114099999999</v>
      </c>
      <c r="O203" s="12">
        <v>-31393.865099999999</v>
      </c>
    </row>
    <row r="204" spans="1:15" x14ac:dyDescent="0.3">
      <c r="A204" s="25" t="s">
        <v>623</v>
      </c>
      <c r="B204" s="25" t="s">
        <v>788</v>
      </c>
      <c r="C204" s="25" t="s">
        <v>789</v>
      </c>
      <c r="D204" s="25" t="s">
        <v>790</v>
      </c>
      <c r="E204" s="25" t="s">
        <v>144</v>
      </c>
      <c r="F204" s="12">
        <v>25948.744600000002</v>
      </c>
      <c r="G204" s="12">
        <v>43803.415099999998</v>
      </c>
      <c r="H204" s="12">
        <v>33235.806600000004</v>
      </c>
      <c r="I204" s="12">
        <v>47641.850299999998</v>
      </c>
      <c r="J204" s="12">
        <v>68077.699900000007</v>
      </c>
      <c r="K204" s="12">
        <v>88402.796600000001</v>
      </c>
      <c r="L204" s="12">
        <v>122167.04640000001</v>
      </c>
      <c r="M204" s="12">
        <v>90525.885399999999</v>
      </c>
      <c r="N204" s="12">
        <v>80925.911900000006</v>
      </c>
      <c r="O204" s="12">
        <v>67509.265899999999</v>
      </c>
    </row>
    <row r="205" spans="1:15" x14ac:dyDescent="0.3">
      <c r="A205" s="25" t="s">
        <v>623</v>
      </c>
      <c r="B205" s="25" t="s">
        <v>791</v>
      </c>
      <c r="C205" s="25" t="s">
        <v>792</v>
      </c>
      <c r="D205" s="25" t="s">
        <v>793</v>
      </c>
      <c r="E205" s="25" t="s">
        <v>144</v>
      </c>
      <c r="F205" s="12">
        <v>-23861.410899999999</v>
      </c>
      <c r="G205" s="12">
        <v>-47610.348599999998</v>
      </c>
      <c r="H205" s="12">
        <v>-33449.556299999997</v>
      </c>
      <c r="I205" s="12">
        <v>-48264.074699999997</v>
      </c>
      <c r="J205" s="12">
        <v>-66727.569799999997</v>
      </c>
      <c r="K205" s="12">
        <v>-87511.373800000001</v>
      </c>
      <c r="L205" s="12">
        <v>-121717.5803</v>
      </c>
      <c r="M205" s="12">
        <v>-92257.685800000007</v>
      </c>
      <c r="N205" s="12">
        <v>-81529.517600000006</v>
      </c>
      <c r="O205" s="12">
        <v>-69717.875199999995</v>
      </c>
    </row>
    <row r="206" spans="1:15" x14ac:dyDescent="0.3">
      <c r="A206" s="25" t="s">
        <v>623</v>
      </c>
      <c r="B206" s="25" t="s">
        <v>794</v>
      </c>
      <c r="C206" s="25" t="s">
        <v>795</v>
      </c>
      <c r="D206" s="25" t="s">
        <v>796</v>
      </c>
      <c r="E206" s="25" t="s">
        <v>144</v>
      </c>
      <c r="F206" s="12">
        <v>-0.96060000000000001</v>
      </c>
      <c r="G206" s="12">
        <v>-2.2058</v>
      </c>
      <c r="H206" s="12">
        <v>-1.5946</v>
      </c>
      <c r="I206" s="12">
        <v>-1.6488</v>
      </c>
      <c r="J206" s="12">
        <v>-1.7948999999999999</v>
      </c>
      <c r="K206" s="12">
        <v>-1.9419</v>
      </c>
      <c r="L206" s="12">
        <v>-2.5907</v>
      </c>
      <c r="M206" s="12">
        <v>-2.6974999999999998</v>
      </c>
      <c r="N206" s="12">
        <v>-1.8897999999999999</v>
      </c>
      <c r="O206" s="12">
        <v>-2.2223000000000002</v>
      </c>
    </row>
    <row r="207" spans="1:15" x14ac:dyDescent="0.3">
      <c r="A207" s="25" t="s">
        <v>623</v>
      </c>
      <c r="B207" s="25" t="s">
        <v>797</v>
      </c>
      <c r="C207" s="25" t="s">
        <v>798</v>
      </c>
      <c r="D207" s="25" t="s">
        <v>799</v>
      </c>
      <c r="E207" s="25" t="s">
        <v>144</v>
      </c>
      <c r="F207" s="12">
        <v>17.134</v>
      </c>
      <c r="G207" s="12">
        <v>119.7166</v>
      </c>
      <c r="H207" s="12">
        <v>52.8157</v>
      </c>
      <c r="I207" s="12">
        <v>259.1952</v>
      </c>
      <c r="J207" s="12">
        <v>27.8858</v>
      </c>
      <c r="K207" s="12">
        <v>682.34040000000005</v>
      </c>
      <c r="L207" s="12">
        <v>74.423699999999997</v>
      </c>
      <c r="M207" s="12">
        <v>-41.212800000000001</v>
      </c>
      <c r="N207" s="12">
        <v>203.0496</v>
      </c>
      <c r="O207" s="12">
        <v>413.18099999999998</v>
      </c>
    </row>
    <row r="208" spans="1:15" x14ac:dyDescent="0.3">
      <c r="A208" s="25" t="s">
        <v>623</v>
      </c>
      <c r="B208" s="25" t="s">
        <v>800</v>
      </c>
      <c r="C208" s="25" t="s">
        <v>801</v>
      </c>
      <c r="D208" s="25" t="s">
        <v>802</v>
      </c>
      <c r="E208" s="25" t="s">
        <v>144</v>
      </c>
      <c r="F208" s="12">
        <v>-16.106999999999999</v>
      </c>
      <c r="G208" s="12">
        <v>-120.6778</v>
      </c>
      <c r="H208" s="12">
        <v>-52.8795</v>
      </c>
      <c r="I208" s="12">
        <v>-259.19740000000002</v>
      </c>
      <c r="J208" s="12">
        <v>-27.873799999999999</v>
      </c>
      <c r="K208" s="12">
        <v>-682.35239999999999</v>
      </c>
      <c r="L208" s="12">
        <v>-74.423699999999997</v>
      </c>
      <c r="M208" s="12">
        <v>41.212800000000001</v>
      </c>
      <c r="N208" s="12">
        <v>-203.0496</v>
      </c>
      <c r="O208" s="12">
        <v>-413.18099999999998</v>
      </c>
    </row>
    <row r="209" spans="1:15" x14ac:dyDescent="0.3">
      <c r="A209" s="11" t="s">
        <v>623</v>
      </c>
      <c r="B209" s="11" t="s">
        <v>803</v>
      </c>
      <c r="C209" s="11" t="s">
        <v>804</v>
      </c>
      <c r="D209" s="11" t="s">
        <v>805</v>
      </c>
      <c r="E209" s="11" t="s">
        <v>144</v>
      </c>
      <c r="F209" s="12">
        <v>661.56830000000002</v>
      </c>
      <c r="G209" s="12">
        <v>46.347299999999997</v>
      </c>
      <c r="H209" s="12">
        <v>51.587600000000002</v>
      </c>
      <c r="I209" s="12">
        <v>-252.0369</v>
      </c>
      <c r="J209" s="12">
        <v>1079.134</v>
      </c>
      <c r="K209" s="12">
        <v>138.05850000000001</v>
      </c>
      <c r="L209" s="12">
        <v>589.68759999999997</v>
      </c>
      <c r="M209" s="12">
        <v>-34.998899999999999</v>
      </c>
      <c r="N209" s="12">
        <v>-217.32470000000001</v>
      </c>
      <c r="O209" s="12">
        <v>-844.92550000000006</v>
      </c>
    </row>
    <row r="210" spans="1:15" x14ac:dyDescent="0.3">
      <c r="A210" s="11" t="s">
        <v>623</v>
      </c>
      <c r="B210" s="11" t="s">
        <v>806</v>
      </c>
      <c r="C210" s="11" t="s">
        <v>807</v>
      </c>
      <c r="D210" s="11" t="s">
        <v>808</v>
      </c>
      <c r="E210" s="11" t="s">
        <v>144</v>
      </c>
      <c r="F210" s="12">
        <v>877.33450000000005</v>
      </c>
      <c r="G210" s="12">
        <v>1538.9028000000001</v>
      </c>
      <c r="H210" s="12">
        <v>1585.2501</v>
      </c>
      <c r="I210" s="12">
        <v>1636.8377</v>
      </c>
      <c r="J210" s="12">
        <v>1384.8008</v>
      </c>
      <c r="K210" s="12">
        <v>2463.9348</v>
      </c>
      <c r="L210" s="12">
        <v>2601.9933999999998</v>
      </c>
      <c r="M210" s="12">
        <v>3191.6808999999998</v>
      </c>
      <c r="N210" s="12">
        <v>3156.6819999999998</v>
      </c>
      <c r="O210" s="12">
        <v>2939.3573999999999</v>
      </c>
    </row>
    <row r="211" spans="1:15" x14ac:dyDescent="0.3">
      <c r="A211" s="25" t="s">
        <v>623</v>
      </c>
      <c r="B211" s="25" t="s">
        <v>809</v>
      </c>
      <c r="C211" s="25" t="s">
        <v>810</v>
      </c>
      <c r="D211" s="25" t="s">
        <v>811</v>
      </c>
      <c r="E211" s="25" t="s">
        <v>144</v>
      </c>
      <c r="F211" s="12">
        <v>877.33450000000005</v>
      </c>
      <c r="G211" s="12">
        <v>1538.9028000000001</v>
      </c>
      <c r="H211" s="12">
        <v>1585.2501</v>
      </c>
      <c r="I211" s="12">
        <v>1636.8377</v>
      </c>
      <c r="J211" s="12">
        <v>1384.8008</v>
      </c>
      <c r="K211" s="12">
        <v>2463.9348</v>
      </c>
      <c r="L211" s="12">
        <v>2601.9933999999998</v>
      </c>
      <c r="M211" s="12">
        <v>3191.6808999999998</v>
      </c>
      <c r="N211" s="12">
        <v>3156.6819999999998</v>
      </c>
      <c r="O211" s="12">
        <v>2939.3573999999999</v>
      </c>
    </row>
    <row r="212" spans="1:15" x14ac:dyDescent="0.3">
      <c r="A212" s="25" t="s">
        <v>623</v>
      </c>
      <c r="B212" s="25" t="s">
        <v>812</v>
      </c>
      <c r="C212" s="25" t="s">
        <v>813</v>
      </c>
      <c r="D212" s="25" t="s">
        <v>814</v>
      </c>
      <c r="E212" s="25" t="s">
        <v>144</v>
      </c>
      <c r="F212" s="12">
        <v>790.41679999999997</v>
      </c>
      <c r="G212" s="12">
        <v>1277.6744000000001</v>
      </c>
      <c r="H212" s="12">
        <v>1485.5070000000001</v>
      </c>
      <c r="I212" s="12">
        <v>1375.9191000000001</v>
      </c>
      <c r="J212" s="12">
        <v>1339.6848</v>
      </c>
      <c r="K212" s="12">
        <v>2347.9998000000001</v>
      </c>
      <c r="L212" s="12">
        <v>2515.8885</v>
      </c>
      <c r="M212" s="12">
        <v>2981.1039999999998</v>
      </c>
      <c r="N212" s="12">
        <v>2902.9607000000001</v>
      </c>
      <c r="O212" s="12">
        <v>2868.8688999999999</v>
      </c>
    </row>
    <row r="213" spans="1:15" x14ac:dyDescent="0.3">
      <c r="A213" s="25" t="s">
        <v>623</v>
      </c>
      <c r="B213" s="25" t="s">
        <v>815</v>
      </c>
      <c r="C213" s="25" t="s">
        <v>816</v>
      </c>
      <c r="D213" s="25" t="s">
        <v>817</v>
      </c>
      <c r="E213" s="25" t="s">
        <v>144</v>
      </c>
      <c r="F213" s="12">
        <v>86.910700000000006</v>
      </c>
      <c r="G213" s="12">
        <v>261.22129999999999</v>
      </c>
      <c r="H213" s="12">
        <v>99.736000000000004</v>
      </c>
      <c r="I213" s="12">
        <v>260.91149999999999</v>
      </c>
      <c r="J213" s="12">
        <v>45.108899999999998</v>
      </c>
      <c r="K213" s="12">
        <v>115.9164</v>
      </c>
      <c r="L213" s="12">
        <v>86.072500000000005</v>
      </c>
      <c r="M213" s="12">
        <v>210.5301</v>
      </c>
      <c r="N213" s="12">
        <v>253.6619</v>
      </c>
      <c r="O213" s="12">
        <v>70.428899999999999</v>
      </c>
    </row>
    <row r="214" spans="1:15" x14ac:dyDescent="0.3">
      <c r="A214" s="25" t="s">
        <v>623</v>
      </c>
      <c r="B214" s="25" t="s">
        <v>818</v>
      </c>
      <c r="C214" s="25" t="s">
        <v>819</v>
      </c>
      <c r="D214" s="25" t="s">
        <v>820</v>
      </c>
      <c r="E214" s="25" t="s">
        <v>144</v>
      </c>
      <c r="F214" s="12">
        <v>7.1000000000000004E-3</v>
      </c>
      <c r="G214" s="12">
        <v>7.1000000000000004E-3</v>
      </c>
      <c r="H214" s="12">
        <v>7.1000000000000004E-3</v>
      </c>
      <c r="I214" s="12">
        <v>7.1000000000000004E-3</v>
      </c>
      <c r="J214" s="12">
        <v>7.1000000000000004E-3</v>
      </c>
      <c r="K214" s="12">
        <v>1.8599999999999998E-2</v>
      </c>
      <c r="L214" s="12">
        <v>3.2399999999999998E-2</v>
      </c>
      <c r="M214" s="12">
        <v>4.6699999999999998E-2</v>
      </c>
      <c r="N214" s="12">
        <v>5.9400000000000001E-2</v>
      </c>
      <c r="O214" s="12">
        <v>5.9499999999999997E-2</v>
      </c>
    </row>
    <row r="215" spans="1:15" x14ac:dyDescent="0.3">
      <c r="A215" s="25" t="s">
        <v>623</v>
      </c>
      <c r="B215" s="25" t="s">
        <v>821</v>
      </c>
      <c r="C215" s="25" t="s">
        <v>822</v>
      </c>
      <c r="D215" s="25" t="s">
        <v>823</v>
      </c>
      <c r="E215" s="25" t="s">
        <v>144</v>
      </c>
      <c r="F215" s="12">
        <v>0</v>
      </c>
      <c r="G215" s="12">
        <v>0</v>
      </c>
      <c r="H215" s="12">
        <v>0</v>
      </c>
      <c r="I215" s="12">
        <v>0</v>
      </c>
      <c r="J215" s="12">
        <v>0</v>
      </c>
      <c r="K215" s="12">
        <v>0</v>
      </c>
      <c r="L215" s="12">
        <v>0</v>
      </c>
      <c r="M215" s="12">
        <v>0</v>
      </c>
      <c r="N215" s="12">
        <v>0</v>
      </c>
      <c r="O215" s="12">
        <v>0</v>
      </c>
    </row>
    <row r="216" spans="1:15" x14ac:dyDescent="0.3">
      <c r="A216" s="11" t="s">
        <v>623</v>
      </c>
      <c r="B216" s="11" t="s">
        <v>824</v>
      </c>
      <c r="C216" s="11" t="s">
        <v>825</v>
      </c>
      <c r="D216" s="11" t="s">
        <v>826</v>
      </c>
      <c r="E216" s="11" t="s">
        <v>144</v>
      </c>
      <c r="F216" s="12">
        <v>1538.9028000000001</v>
      </c>
      <c r="G216" s="12">
        <v>1585.2501</v>
      </c>
      <c r="H216" s="12">
        <v>1636.8377</v>
      </c>
      <c r="I216" s="12">
        <v>1384.8008</v>
      </c>
      <c r="J216" s="12">
        <v>2463.9348</v>
      </c>
      <c r="K216" s="12">
        <v>2601.9933999999998</v>
      </c>
      <c r="L216" s="12">
        <v>3191.6808999999998</v>
      </c>
      <c r="M216" s="12">
        <v>3156.6819999999998</v>
      </c>
      <c r="N216" s="12">
        <v>2939.3573999999999</v>
      </c>
      <c r="O216" s="12">
        <v>2094.4317999999998</v>
      </c>
    </row>
    <row r="217" spans="1:15" x14ac:dyDescent="0.3">
      <c r="A217" s="25" t="s">
        <v>623</v>
      </c>
      <c r="B217" s="25" t="s">
        <v>827</v>
      </c>
      <c r="C217" s="25" t="s">
        <v>828</v>
      </c>
      <c r="D217" s="25" t="s">
        <v>829</v>
      </c>
      <c r="E217" s="25" t="s">
        <v>144</v>
      </c>
      <c r="F217" s="12">
        <v>1538.9028000000001</v>
      </c>
      <c r="G217" s="12">
        <v>1585.2501</v>
      </c>
      <c r="H217" s="12">
        <v>1636.8377</v>
      </c>
      <c r="I217" s="12">
        <v>1384.8008</v>
      </c>
      <c r="J217" s="12">
        <v>2463.9348</v>
      </c>
      <c r="K217" s="12">
        <v>2601.9933999999998</v>
      </c>
      <c r="L217" s="12">
        <v>3191.6808999999998</v>
      </c>
      <c r="M217" s="12">
        <v>3156.6819999999998</v>
      </c>
      <c r="N217" s="12">
        <v>2939.3573999999999</v>
      </c>
      <c r="O217" s="12">
        <v>2094.4317999999998</v>
      </c>
    </row>
    <row r="218" spans="1:15" x14ac:dyDescent="0.3">
      <c r="A218" s="25" t="s">
        <v>623</v>
      </c>
      <c r="B218" s="25" t="s">
        <v>830</v>
      </c>
      <c r="C218" s="25" t="s">
        <v>813</v>
      </c>
      <c r="D218" s="25" t="s">
        <v>814</v>
      </c>
      <c r="E218" s="25" t="s">
        <v>144</v>
      </c>
      <c r="F218" s="12">
        <v>1277.6744000000001</v>
      </c>
      <c r="G218" s="12">
        <v>1485.5070000000001</v>
      </c>
      <c r="H218" s="12">
        <v>1375.9191000000001</v>
      </c>
      <c r="I218" s="12">
        <v>1339.6848</v>
      </c>
      <c r="J218" s="12">
        <v>2347.9998000000001</v>
      </c>
      <c r="K218" s="12">
        <v>2515.8885</v>
      </c>
      <c r="L218" s="12">
        <v>2981.1039999999998</v>
      </c>
      <c r="M218" s="12">
        <v>2902.9607000000001</v>
      </c>
      <c r="N218" s="12">
        <v>2868.8688999999999</v>
      </c>
      <c r="O218" s="12">
        <v>1960.8196</v>
      </c>
    </row>
    <row r="219" spans="1:15" x14ac:dyDescent="0.3">
      <c r="A219" s="25" t="s">
        <v>623</v>
      </c>
      <c r="B219" s="25" t="s">
        <v>831</v>
      </c>
      <c r="C219" s="25" t="s">
        <v>832</v>
      </c>
      <c r="D219" s="25" t="s">
        <v>833</v>
      </c>
      <c r="E219" s="25" t="s">
        <v>144</v>
      </c>
      <c r="F219" s="12">
        <v>7.1000000000000004E-3</v>
      </c>
      <c r="G219" s="12">
        <v>7.1000000000000004E-3</v>
      </c>
      <c r="H219" s="12">
        <v>7.1000000000000004E-3</v>
      </c>
      <c r="I219" s="12">
        <v>7.1000000000000004E-3</v>
      </c>
      <c r="J219" s="12">
        <v>1.8599999999999998E-2</v>
      </c>
      <c r="K219" s="12">
        <v>3.2399999999999998E-2</v>
      </c>
      <c r="L219" s="12">
        <v>4.6699999999999998E-2</v>
      </c>
      <c r="M219" s="12">
        <v>5.9400000000000001E-2</v>
      </c>
      <c r="N219" s="12">
        <v>5.9499999999999997E-2</v>
      </c>
      <c r="O219" s="12">
        <v>5.9499999999999997E-2</v>
      </c>
    </row>
    <row r="220" spans="1:15" x14ac:dyDescent="0.3">
      <c r="A220" s="25" t="s">
        <v>623</v>
      </c>
      <c r="B220" s="25" t="s">
        <v>834</v>
      </c>
      <c r="C220" s="25" t="s">
        <v>835</v>
      </c>
      <c r="D220" s="25" t="s">
        <v>836</v>
      </c>
      <c r="E220" s="25" t="s">
        <v>144</v>
      </c>
      <c r="F220" s="12">
        <v>261.22129999999999</v>
      </c>
      <c r="G220" s="12">
        <v>99.736000000000004</v>
      </c>
      <c r="H220" s="12">
        <v>260.91149999999999</v>
      </c>
      <c r="I220" s="12">
        <v>45.108899999999998</v>
      </c>
      <c r="J220" s="12">
        <v>115.9164</v>
      </c>
      <c r="K220" s="12">
        <v>86.072500000000005</v>
      </c>
      <c r="L220" s="12">
        <v>210.5301</v>
      </c>
      <c r="M220" s="12">
        <v>253.6619</v>
      </c>
      <c r="N220" s="12">
        <v>70.428899999999999</v>
      </c>
      <c r="O220" s="12">
        <v>133.55269999999999</v>
      </c>
    </row>
    <row r="221" spans="1:15" x14ac:dyDescent="0.3">
      <c r="A221" s="25" t="s">
        <v>623</v>
      </c>
      <c r="B221" s="25" t="s">
        <v>837</v>
      </c>
      <c r="C221" s="25" t="s">
        <v>822</v>
      </c>
      <c r="D221" s="25" t="s">
        <v>823</v>
      </c>
      <c r="E221" s="25" t="s">
        <v>144</v>
      </c>
      <c r="F221" s="12">
        <v>0</v>
      </c>
      <c r="G221" s="12">
        <v>0</v>
      </c>
      <c r="H221" s="12">
        <v>0</v>
      </c>
      <c r="I221" s="12">
        <v>0</v>
      </c>
      <c r="J221" s="12">
        <v>0</v>
      </c>
      <c r="K221" s="12">
        <v>0</v>
      </c>
      <c r="L221" s="12">
        <v>0</v>
      </c>
      <c r="M221" s="12">
        <v>0</v>
      </c>
      <c r="N221" s="12">
        <v>0</v>
      </c>
      <c r="O221" s="12">
        <v>0</v>
      </c>
    </row>
    <row r="222" spans="1:15" x14ac:dyDescent="0.3">
      <c r="A222" s="11" t="s">
        <v>838</v>
      </c>
      <c r="B222" s="11" t="s">
        <v>839</v>
      </c>
      <c r="C222" s="11" t="s">
        <v>840</v>
      </c>
      <c r="D222" s="11" t="s">
        <v>841</v>
      </c>
      <c r="E222" s="11" t="s">
        <v>144</v>
      </c>
      <c r="F222" s="12">
        <v>632.96130000000005</v>
      </c>
      <c r="G222" s="12">
        <v>936.45540000000005</v>
      </c>
      <c r="H222" s="12">
        <v>156.72970000000001</v>
      </c>
      <c r="I222" s="12">
        <v>1093.1621</v>
      </c>
      <c r="J222" s="12">
        <v>535.01859999999999</v>
      </c>
      <c r="K222" s="12">
        <v>66.635499999999993</v>
      </c>
      <c r="L222" s="12">
        <v>742.16579999999999</v>
      </c>
      <c r="M222" s="12">
        <v>510.5788</v>
      </c>
      <c r="N222" s="12">
        <v>795.25980000000004</v>
      </c>
      <c r="O222" s="12">
        <v>841.92399999999998</v>
      </c>
    </row>
    <row r="223" spans="1:15" x14ac:dyDescent="0.3">
      <c r="A223" s="25" t="s">
        <v>838</v>
      </c>
      <c r="B223" s="25" t="s">
        <v>842</v>
      </c>
      <c r="C223" s="25" t="s">
        <v>843</v>
      </c>
      <c r="D223" s="25" t="s">
        <v>844</v>
      </c>
      <c r="E223" s="25" t="s">
        <v>144</v>
      </c>
      <c r="F223" s="12">
        <v>539.48209999999995</v>
      </c>
      <c r="G223" s="12">
        <v>823.80700000000002</v>
      </c>
      <c r="H223" s="12">
        <v>154.39869999999999</v>
      </c>
      <c r="I223" s="12">
        <v>861.28049999999996</v>
      </c>
      <c r="J223" s="12">
        <v>402.58949999999999</v>
      </c>
      <c r="K223" s="12">
        <v>50.938000000000002</v>
      </c>
      <c r="L223" s="12">
        <v>677.02430000000004</v>
      </c>
      <c r="M223" s="12">
        <v>496.74250000000001</v>
      </c>
      <c r="N223" s="12">
        <v>780.46450000000004</v>
      </c>
      <c r="O223" s="12">
        <v>732.78700000000003</v>
      </c>
    </row>
    <row r="224" spans="1:15" x14ac:dyDescent="0.3">
      <c r="A224" s="25" t="s">
        <v>838</v>
      </c>
      <c r="B224" s="25" t="s">
        <v>845</v>
      </c>
      <c r="C224" s="25" t="s">
        <v>846</v>
      </c>
      <c r="D224" s="25" t="s">
        <v>847</v>
      </c>
      <c r="E224" s="25" t="s">
        <v>144</v>
      </c>
      <c r="F224" s="12">
        <v>6.0651999999999999</v>
      </c>
      <c r="G224" s="12">
        <v>62.648400000000002</v>
      </c>
      <c r="H224" s="12">
        <v>2.331</v>
      </c>
      <c r="I224" s="12">
        <v>81.881600000000006</v>
      </c>
      <c r="J224" s="12">
        <v>132.42910000000001</v>
      </c>
      <c r="K224" s="12">
        <v>15.6975</v>
      </c>
      <c r="L224" s="12">
        <v>65.141499999999994</v>
      </c>
      <c r="M224" s="12">
        <v>13.836399999999999</v>
      </c>
      <c r="N224" s="12">
        <v>14.795299999999999</v>
      </c>
      <c r="O224" s="12">
        <v>109.137</v>
      </c>
    </row>
    <row r="225" spans="1:15" x14ac:dyDescent="0.3">
      <c r="A225" s="25" t="s">
        <v>838</v>
      </c>
      <c r="B225" s="25" t="s">
        <v>848</v>
      </c>
      <c r="C225" s="25" t="s">
        <v>345</v>
      </c>
      <c r="D225" s="25" t="s">
        <v>346</v>
      </c>
      <c r="E225" s="25" t="s">
        <v>144</v>
      </c>
      <c r="F225" s="12">
        <v>87.414000000000001</v>
      </c>
      <c r="G225" s="12">
        <v>50</v>
      </c>
      <c r="H225" s="12">
        <v>0</v>
      </c>
      <c r="I225" s="12">
        <v>150</v>
      </c>
      <c r="J225" s="12">
        <v>0</v>
      </c>
      <c r="K225" s="12">
        <v>0</v>
      </c>
      <c r="L225" s="12">
        <v>0</v>
      </c>
      <c r="M225" s="12">
        <v>0</v>
      </c>
      <c r="N225" s="12">
        <v>0</v>
      </c>
      <c r="O225" s="12">
        <v>0</v>
      </c>
    </row>
    <row r="226" spans="1:15" x14ac:dyDescent="0.3">
      <c r="A226" s="11" t="s">
        <v>838</v>
      </c>
      <c r="B226" s="11" t="s">
        <v>849</v>
      </c>
      <c r="C226" s="11" t="s">
        <v>850</v>
      </c>
      <c r="D226" s="11" t="s">
        <v>851</v>
      </c>
      <c r="E226" s="11" t="s">
        <v>144</v>
      </c>
      <c r="F226" s="12">
        <v>3.2899999999999999E-2</v>
      </c>
      <c r="G226" s="12">
        <v>0.10009999999999999</v>
      </c>
      <c r="H226" s="12">
        <v>2.3300000000000001E-2</v>
      </c>
      <c r="I226" s="12">
        <v>0.1399</v>
      </c>
      <c r="J226" s="12">
        <v>0.14899999999999999</v>
      </c>
      <c r="K226" s="12">
        <v>0.126</v>
      </c>
      <c r="L226" s="12">
        <v>0.17430000000000001</v>
      </c>
      <c r="M226" s="12">
        <v>0.182</v>
      </c>
      <c r="N226" s="12">
        <v>0.1404</v>
      </c>
      <c r="O226" s="12">
        <v>0.1779</v>
      </c>
    </row>
    <row r="227" spans="1:15" x14ac:dyDescent="0.3">
      <c r="A227" s="25" t="s">
        <v>838</v>
      </c>
      <c r="B227" s="25" t="s">
        <v>852</v>
      </c>
      <c r="C227" s="25" t="s">
        <v>853</v>
      </c>
      <c r="D227" s="25" t="s">
        <v>854</v>
      </c>
      <c r="E227" s="25" t="s">
        <v>566</v>
      </c>
      <c r="F227" s="23">
        <v>3450164</v>
      </c>
      <c r="G227" s="23">
        <v>9282276</v>
      </c>
      <c r="H227" s="23">
        <v>1396761</v>
      </c>
      <c r="I227" s="23">
        <v>20905</v>
      </c>
      <c r="J227" s="23">
        <v>50903698</v>
      </c>
      <c r="K227" s="23">
        <v>4794514</v>
      </c>
      <c r="L227" s="23">
        <v>24965057</v>
      </c>
      <c r="M227" s="23">
        <v>1939304</v>
      </c>
      <c r="N227" s="23">
        <v>2055155</v>
      </c>
      <c r="O227" s="23">
        <v>75089632</v>
      </c>
    </row>
    <row r="228" spans="1:15" x14ac:dyDescent="0.3">
      <c r="A228" s="25" t="s">
        <v>838</v>
      </c>
      <c r="B228" s="25" t="s">
        <v>855</v>
      </c>
      <c r="C228" s="25" t="s">
        <v>856</v>
      </c>
      <c r="D228" s="25" t="s">
        <v>857</v>
      </c>
      <c r="E228" s="25" t="s">
        <v>566</v>
      </c>
      <c r="F228" s="23">
        <v>19876100</v>
      </c>
      <c r="G228" s="23">
        <v>81277300</v>
      </c>
      <c r="H228" s="23">
        <v>21938324</v>
      </c>
      <c r="I228" s="23">
        <v>139830904</v>
      </c>
      <c r="J228" s="23">
        <v>84151974</v>
      </c>
      <c r="K228" s="23">
        <v>117572511</v>
      </c>
      <c r="L228" s="23">
        <v>146288707</v>
      </c>
      <c r="M228" s="23">
        <v>179438270</v>
      </c>
      <c r="N228" s="23">
        <v>133974912</v>
      </c>
      <c r="O228" s="23">
        <v>101855529</v>
      </c>
    </row>
    <row r="229" spans="1:15" x14ac:dyDescent="0.3">
      <c r="A229" s="25" t="s">
        <v>838</v>
      </c>
      <c r="B229" s="25" t="s">
        <v>858</v>
      </c>
      <c r="C229" s="25" t="s">
        <v>859</v>
      </c>
      <c r="D229" s="25" t="s">
        <v>860</v>
      </c>
      <c r="E229" s="25" t="s">
        <v>566</v>
      </c>
      <c r="F229" s="23">
        <v>9531210</v>
      </c>
      <c r="G229" s="23">
        <v>9541846</v>
      </c>
      <c r="H229" s="23">
        <v>23</v>
      </c>
      <c r="I229" s="23">
        <v>37</v>
      </c>
      <c r="J229" s="23">
        <v>13900000</v>
      </c>
      <c r="K229" s="23">
        <v>3615814</v>
      </c>
      <c r="L229" s="23">
        <v>3027525</v>
      </c>
      <c r="M229" s="23">
        <v>600700</v>
      </c>
      <c r="N229" s="23">
        <v>4412465</v>
      </c>
      <c r="O229" s="23">
        <v>997747</v>
      </c>
    </row>
    <row r="230" spans="1:15" x14ac:dyDescent="0.3">
      <c r="A230" s="11" t="s">
        <v>838</v>
      </c>
      <c r="B230" s="11" t="s">
        <v>861</v>
      </c>
      <c r="C230" s="11" t="s">
        <v>862</v>
      </c>
      <c r="D230" s="11" t="s">
        <v>863</v>
      </c>
      <c r="E230" s="11" t="s">
        <v>144</v>
      </c>
      <c r="F230" s="12">
        <v>7488.8108000000002</v>
      </c>
      <c r="G230" s="12">
        <v>20010.003100000002</v>
      </c>
      <c r="H230" s="12">
        <v>6081.2861000000003</v>
      </c>
      <c r="I230" s="12">
        <v>22195.0311</v>
      </c>
      <c r="J230" s="12">
        <v>11855.209800000001</v>
      </c>
      <c r="K230" s="12">
        <v>14953.0227</v>
      </c>
      <c r="L230" s="12">
        <v>19220.3462</v>
      </c>
      <c r="M230" s="12">
        <v>22974.906999999999</v>
      </c>
      <c r="N230" s="12">
        <v>15496.3076</v>
      </c>
      <c r="O230" s="12">
        <v>12687.6021</v>
      </c>
    </row>
    <row r="231" spans="1:15" x14ac:dyDescent="0.3">
      <c r="A231" s="25" t="s">
        <v>838</v>
      </c>
      <c r="B231" s="25" t="s">
        <v>864</v>
      </c>
      <c r="C231" s="25" t="s">
        <v>865</v>
      </c>
      <c r="D231" s="25" t="s">
        <v>866</v>
      </c>
      <c r="E231" s="25" t="s">
        <v>144</v>
      </c>
      <c r="F231" s="12">
        <v>106.336</v>
      </c>
      <c r="G231" s="12">
        <v>219.01609999999999</v>
      </c>
      <c r="H231" s="12">
        <v>17.4084</v>
      </c>
      <c r="I231" s="12">
        <v>0.34560000000000002</v>
      </c>
      <c r="J231" s="12">
        <v>646.87990000000002</v>
      </c>
      <c r="K231" s="12">
        <v>124.1481</v>
      </c>
      <c r="L231" s="12">
        <v>508.18939999999998</v>
      </c>
      <c r="M231" s="12">
        <v>41.493600000000001</v>
      </c>
      <c r="N231" s="12">
        <v>43.069200000000002</v>
      </c>
      <c r="O231" s="12">
        <v>1204.3680999999999</v>
      </c>
    </row>
    <row r="232" spans="1:15" x14ac:dyDescent="0.3">
      <c r="A232" s="25" t="s">
        <v>838</v>
      </c>
      <c r="B232" s="25" t="s">
        <v>867</v>
      </c>
      <c r="C232" s="25" t="s">
        <v>868</v>
      </c>
      <c r="D232" s="25" t="s">
        <v>869</v>
      </c>
      <c r="E232" s="25" t="s">
        <v>144</v>
      </c>
      <c r="F232" s="12">
        <v>3338.2001</v>
      </c>
      <c r="G232" s="12">
        <v>11183.446900000001</v>
      </c>
      <c r="H232" s="12">
        <v>3474.4508000000001</v>
      </c>
      <c r="I232" s="12">
        <v>16913.704900000001</v>
      </c>
      <c r="J232" s="12">
        <v>9809.7572999999993</v>
      </c>
      <c r="K232" s="12">
        <v>14005.0769</v>
      </c>
      <c r="L232" s="12">
        <v>18678.883000000002</v>
      </c>
      <c r="M232" s="12">
        <v>21262.853800000001</v>
      </c>
      <c r="N232" s="12">
        <v>14991.5069</v>
      </c>
      <c r="O232" s="12">
        <v>10673.3855</v>
      </c>
    </row>
    <row r="233" spans="1:15" x14ac:dyDescent="0.3">
      <c r="A233" s="25" t="s">
        <v>838</v>
      </c>
      <c r="B233" s="25" t="s">
        <v>870</v>
      </c>
      <c r="C233" s="25" t="s">
        <v>871</v>
      </c>
      <c r="D233" s="25" t="s">
        <v>872</v>
      </c>
      <c r="E233" s="25" t="s">
        <v>144</v>
      </c>
      <c r="F233" s="12">
        <v>4044.2746999999999</v>
      </c>
      <c r="G233" s="12">
        <v>8607.5401999999995</v>
      </c>
      <c r="H233" s="12">
        <v>2589.4268999999999</v>
      </c>
      <c r="I233" s="12">
        <v>5280.9804999999997</v>
      </c>
      <c r="J233" s="12">
        <v>1398.5726</v>
      </c>
      <c r="K233" s="12">
        <v>823.79769999999996</v>
      </c>
      <c r="L233" s="12">
        <v>33.273800000000001</v>
      </c>
      <c r="M233" s="12">
        <v>1670.5595000000001</v>
      </c>
      <c r="N233" s="12">
        <v>461.73149999999998</v>
      </c>
      <c r="O233" s="12">
        <v>809.84860000000003</v>
      </c>
    </row>
    <row r="234" spans="1:15" x14ac:dyDescent="0.3">
      <c r="A234" s="11" t="s">
        <v>838</v>
      </c>
      <c r="B234" s="11" t="s">
        <v>873</v>
      </c>
      <c r="C234" s="11" t="s">
        <v>874</v>
      </c>
      <c r="D234" s="11" t="s">
        <v>875</v>
      </c>
      <c r="E234" s="11" t="s">
        <v>144</v>
      </c>
      <c r="F234" s="12">
        <v>1.6237999999999999</v>
      </c>
      <c r="G234" s="12">
        <v>3.8323999999999998</v>
      </c>
      <c r="H234" s="12">
        <v>1.5896999999999999</v>
      </c>
      <c r="I234" s="12">
        <v>1.8281000000000001</v>
      </c>
      <c r="J234" s="12">
        <v>1.9603999999999999</v>
      </c>
      <c r="K234" s="12">
        <v>2.7382</v>
      </c>
      <c r="L234" s="12">
        <v>4.8198999999999996</v>
      </c>
      <c r="M234" s="12">
        <v>2.6814</v>
      </c>
      <c r="N234" s="12">
        <v>2.7835000000000001</v>
      </c>
      <c r="O234" s="12">
        <v>2.7915000000000001</v>
      </c>
    </row>
    <row r="235" spans="1:15" x14ac:dyDescent="0.3">
      <c r="A235" s="25" t="s">
        <v>838</v>
      </c>
      <c r="B235" s="25" t="s">
        <v>876</v>
      </c>
      <c r="C235" s="25" t="s">
        <v>853</v>
      </c>
      <c r="D235" s="25" t="s">
        <v>854</v>
      </c>
      <c r="E235" s="25" t="s">
        <v>566</v>
      </c>
      <c r="F235" s="23">
        <v>1623815081</v>
      </c>
      <c r="G235" s="23">
        <v>3832410216</v>
      </c>
      <c r="H235" s="23">
        <v>1587600934</v>
      </c>
      <c r="I235" s="23">
        <v>1465763334</v>
      </c>
      <c r="J235" s="23">
        <v>1958276828</v>
      </c>
      <c r="K235" s="23">
        <v>2419278104</v>
      </c>
      <c r="L235" s="23">
        <v>4579178816</v>
      </c>
      <c r="M235" s="23">
        <v>2509369632</v>
      </c>
      <c r="N235" s="23">
        <v>2540582089</v>
      </c>
      <c r="O235" s="23">
        <v>2471153648</v>
      </c>
    </row>
    <row r="236" spans="1:15" x14ac:dyDescent="0.3">
      <c r="A236" s="25" t="s">
        <v>838</v>
      </c>
      <c r="B236" s="25" t="s">
        <v>877</v>
      </c>
      <c r="C236" s="25" t="s">
        <v>856</v>
      </c>
      <c r="D236" s="25" t="s">
        <v>857</v>
      </c>
      <c r="E236" s="25" t="s">
        <v>566</v>
      </c>
      <c r="F236" s="23">
        <v>400</v>
      </c>
      <c r="G236" s="23">
        <v>1040</v>
      </c>
      <c r="H236" s="23">
        <v>2119414</v>
      </c>
      <c r="I236" s="23">
        <v>1079735</v>
      </c>
      <c r="J236" s="23">
        <v>2159558</v>
      </c>
      <c r="K236" s="23">
        <v>24955899</v>
      </c>
      <c r="L236" s="23">
        <v>11280351</v>
      </c>
      <c r="M236" s="23">
        <v>30213553</v>
      </c>
      <c r="N236" s="23">
        <v>26520358</v>
      </c>
      <c r="O236" s="23">
        <v>28831843</v>
      </c>
    </row>
    <row r="237" spans="1:15" x14ac:dyDescent="0.3">
      <c r="A237" s="25" t="s">
        <v>838</v>
      </c>
      <c r="B237" s="25" t="s">
        <v>878</v>
      </c>
      <c r="C237" s="25" t="s">
        <v>859</v>
      </c>
      <c r="D237" s="25" t="s">
        <v>879</v>
      </c>
      <c r="E237" s="25" t="s">
        <v>566</v>
      </c>
      <c r="F237" s="23">
        <v>0</v>
      </c>
      <c r="G237" s="23">
        <v>0</v>
      </c>
      <c r="H237" s="23">
        <v>0</v>
      </c>
      <c r="I237" s="23">
        <v>361268536</v>
      </c>
      <c r="J237" s="23">
        <v>0</v>
      </c>
      <c r="K237" s="23">
        <v>293931079</v>
      </c>
      <c r="L237" s="23">
        <v>229430125</v>
      </c>
      <c r="M237" s="23">
        <v>141825840</v>
      </c>
      <c r="N237" s="23">
        <v>216427685</v>
      </c>
      <c r="O237" s="23">
        <v>291539278</v>
      </c>
    </row>
    <row r="238" spans="1:15" x14ac:dyDescent="0.3">
      <c r="A238" s="11" t="s">
        <v>838</v>
      </c>
      <c r="B238" s="11" t="s">
        <v>880</v>
      </c>
      <c r="C238" s="11" t="s">
        <v>881</v>
      </c>
      <c r="D238" s="11" t="s">
        <v>882</v>
      </c>
      <c r="E238" s="11" t="s">
        <v>144</v>
      </c>
      <c r="F238" s="12">
        <v>33999.830600000001</v>
      </c>
      <c r="G238" s="12">
        <v>81549.744200000001</v>
      </c>
      <c r="H238" s="12">
        <v>32557.372200000002</v>
      </c>
      <c r="I238" s="12">
        <v>32575.285599999999</v>
      </c>
      <c r="J238" s="12">
        <v>37704</v>
      </c>
      <c r="K238" s="12">
        <v>55499.0671</v>
      </c>
      <c r="L238" s="12">
        <v>113523.4074</v>
      </c>
      <c r="M238" s="12">
        <v>74743.107199999999</v>
      </c>
      <c r="N238" s="12">
        <v>77527.102100000004</v>
      </c>
      <c r="O238" s="12">
        <v>66552.698600000003</v>
      </c>
    </row>
    <row r="239" spans="1:15" x14ac:dyDescent="0.3">
      <c r="A239" s="25" t="s">
        <v>838</v>
      </c>
      <c r="B239" s="25" t="s">
        <v>883</v>
      </c>
      <c r="C239" s="25" t="s">
        <v>865</v>
      </c>
      <c r="D239" s="25" t="s">
        <v>866</v>
      </c>
      <c r="E239" s="25" t="s">
        <v>144</v>
      </c>
      <c r="F239" s="12">
        <v>33959.830600000001</v>
      </c>
      <c r="G239" s="12">
        <v>81442.6774</v>
      </c>
      <c r="H239" s="12">
        <v>31942.0216</v>
      </c>
      <c r="I239" s="12">
        <v>31559.251100000001</v>
      </c>
      <c r="J239" s="12">
        <v>37486.035600000003</v>
      </c>
      <c r="K239" s="12">
        <v>52363.067300000002</v>
      </c>
      <c r="L239" s="12">
        <v>111774.10030000001</v>
      </c>
      <c r="M239" s="12">
        <v>70765.9997</v>
      </c>
      <c r="N239" s="12">
        <v>72200.902100000007</v>
      </c>
      <c r="O239" s="12">
        <v>62890.536699999997</v>
      </c>
    </row>
    <row r="240" spans="1:15" x14ac:dyDescent="0.3">
      <c r="A240" s="25" t="s">
        <v>838</v>
      </c>
      <c r="B240" s="25" t="s">
        <v>884</v>
      </c>
      <c r="C240" s="25" t="s">
        <v>868</v>
      </c>
      <c r="D240" s="25" t="s">
        <v>869</v>
      </c>
      <c r="E240" s="25" t="s">
        <v>144</v>
      </c>
      <c r="F240" s="12">
        <v>40</v>
      </c>
      <c r="G240" s="12">
        <v>107.0667</v>
      </c>
      <c r="H240" s="12">
        <v>615.35059999999999</v>
      </c>
      <c r="I240" s="12">
        <v>602.96770000000004</v>
      </c>
      <c r="J240" s="12">
        <v>217.96440000000001</v>
      </c>
      <c r="K240" s="12">
        <v>2901.0488</v>
      </c>
      <c r="L240" s="12">
        <v>1243.2533000000001</v>
      </c>
      <c r="M240" s="12">
        <v>3635.1421</v>
      </c>
      <c r="N240" s="12">
        <v>4841.4296999999997</v>
      </c>
      <c r="O240" s="12">
        <v>3229.4351000000001</v>
      </c>
    </row>
    <row r="241" spans="1:15" x14ac:dyDescent="0.3">
      <c r="A241" s="25" t="s">
        <v>838</v>
      </c>
      <c r="B241" s="25" t="s">
        <v>885</v>
      </c>
      <c r="C241" s="25" t="s">
        <v>871</v>
      </c>
      <c r="D241" s="25" t="s">
        <v>872</v>
      </c>
      <c r="E241" s="25" t="s">
        <v>144</v>
      </c>
      <c r="F241" s="12">
        <v>0</v>
      </c>
      <c r="G241" s="12">
        <v>0</v>
      </c>
      <c r="H241" s="12">
        <v>0</v>
      </c>
      <c r="I241" s="12">
        <v>413.0668</v>
      </c>
      <c r="J241" s="12">
        <v>0</v>
      </c>
      <c r="K241" s="12">
        <v>234.95089999999999</v>
      </c>
      <c r="L241" s="12">
        <v>506.05380000000002</v>
      </c>
      <c r="M241" s="12">
        <v>341.96539999999999</v>
      </c>
      <c r="N241" s="12">
        <v>484.7704</v>
      </c>
      <c r="O241" s="12">
        <v>432.72680000000003</v>
      </c>
    </row>
    <row r="242" spans="1:15" x14ac:dyDescent="0.3">
      <c r="A242" s="11" t="s">
        <v>838</v>
      </c>
      <c r="B242" s="11" t="s">
        <v>886</v>
      </c>
      <c r="C242" s="11" t="s">
        <v>887</v>
      </c>
      <c r="D242" s="11" t="s">
        <v>888</v>
      </c>
      <c r="E242" s="11" t="s">
        <v>144</v>
      </c>
      <c r="F242" s="12">
        <v>6943.4120999999996</v>
      </c>
      <c r="G242" s="12">
        <v>5350.701</v>
      </c>
      <c r="H242" s="12">
        <v>7443.7493000000004</v>
      </c>
      <c r="I242" s="12">
        <v>6857.8184000000001</v>
      </c>
      <c r="J242" s="12">
        <v>8093.1387999999997</v>
      </c>
      <c r="K242" s="12">
        <v>9716.5885999999991</v>
      </c>
      <c r="L242" s="12">
        <v>10227.464400000001</v>
      </c>
      <c r="M242" s="12">
        <v>12504.175999999999</v>
      </c>
      <c r="N242" s="12">
        <v>12117.033100000001</v>
      </c>
      <c r="O242" s="12">
        <v>13603.8454</v>
      </c>
    </row>
    <row r="243" spans="1:15" x14ac:dyDescent="0.3">
      <c r="A243" s="25" t="s">
        <v>838</v>
      </c>
      <c r="B243" s="25" t="s">
        <v>889</v>
      </c>
      <c r="C243" s="25" t="s">
        <v>890</v>
      </c>
      <c r="D243" s="25" t="s">
        <v>891</v>
      </c>
      <c r="E243" s="25" t="s">
        <v>144</v>
      </c>
      <c r="F243" s="12">
        <v>619.09010000000001</v>
      </c>
      <c r="G243" s="12">
        <v>125.53</v>
      </c>
      <c r="H243" s="12">
        <v>769.79010000000005</v>
      </c>
      <c r="I243" s="12">
        <v>201.4829</v>
      </c>
      <c r="J243" s="12">
        <v>575.18560000000002</v>
      </c>
      <c r="K243" s="12">
        <v>727.72190000000001</v>
      </c>
      <c r="L243" s="12">
        <v>980.64739999999995</v>
      </c>
      <c r="M243" s="12">
        <v>2110.2348999999999</v>
      </c>
      <c r="N243" s="12">
        <v>1545.6949999999999</v>
      </c>
      <c r="O243" s="12">
        <v>1586.6945000000001</v>
      </c>
    </row>
    <row r="244" spans="1:15" x14ac:dyDescent="0.3">
      <c r="A244" s="25" t="s">
        <v>838</v>
      </c>
      <c r="B244" s="25" t="s">
        <v>892</v>
      </c>
      <c r="C244" s="25" t="s">
        <v>893</v>
      </c>
      <c r="D244" s="25" t="s">
        <v>894</v>
      </c>
      <c r="E244" s="25" t="s">
        <v>144</v>
      </c>
      <c r="F244" s="12">
        <v>118.452</v>
      </c>
      <c r="G244" s="12">
        <v>125.53</v>
      </c>
      <c r="H244" s="12">
        <v>370.05799999999999</v>
      </c>
      <c r="I244" s="12">
        <v>201.4829</v>
      </c>
      <c r="J244" s="12">
        <v>476.76710000000003</v>
      </c>
      <c r="K244" s="12">
        <v>727.72190000000001</v>
      </c>
      <c r="L244" s="12">
        <v>980.64739999999995</v>
      </c>
      <c r="M244" s="12">
        <v>2072.6349</v>
      </c>
      <c r="N244" s="12">
        <v>1343.9718</v>
      </c>
      <c r="O244" s="12">
        <v>1586.6945000000001</v>
      </c>
    </row>
    <row r="245" spans="1:15" x14ac:dyDescent="0.3">
      <c r="A245" s="25" t="s">
        <v>838</v>
      </c>
      <c r="B245" s="25" t="s">
        <v>895</v>
      </c>
      <c r="C245" s="25" t="s">
        <v>896</v>
      </c>
      <c r="D245" s="25" t="s">
        <v>897</v>
      </c>
      <c r="E245" s="25" t="s">
        <v>144</v>
      </c>
      <c r="F245" s="12">
        <v>118.452</v>
      </c>
      <c r="G245" s="12">
        <v>125.53</v>
      </c>
      <c r="H245" s="12">
        <v>137.37180000000001</v>
      </c>
      <c r="I245" s="12">
        <v>135.46879999999999</v>
      </c>
      <c r="J245" s="12">
        <v>148.54159999999999</v>
      </c>
      <c r="K245" s="12">
        <v>192.8784</v>
      </c>
      <c r="L245" s="12">
        <v>392.74360000000001</v>
      </c>
      <c r="M245" s="12">
        <v>371.47710000000001</v>
      </c>
      <c r="N245" s="12">
        <v>416.74790000000002</v>
      </c>
      <c r="O245" s="12">
        <v>421.43650000000002</v>
      </c>
    </row>
    <row r="246" spans="1:15" x14ac:dyDescent="0.3">
      <c r="A246" s="25" t="s">
        <v>838</v>
      </c>
      <c r="B246" s="25" t="s">
        <v>898</v>
      </c>
      <c r="C246" s="25" t="s">
        <v>899</v>
      </c>
      <c r="D246" s="25" t="s">
        <v>900</v>
      </c>
      <c r="E246" s="25" t="s">
        <v>144</v>
      </c>
      <c r="F246" s="12">
        <v>0</v>
      </c>
      <c r="G246" s="12">
        <v>0</v>
      </c>
      <c r="H246" s="12">
        <v>0</v>
      </c>
      <c r="I246" s="12">
        <v>2.0038999999999998</v>
      </c>
      <c r="J246" s="12">
        <v>0</v>
      </c>
      <c r="K246" s="12">
        <v>6.8106</v>
      </c>
      <c r="L246" s="12">
        <v>0</v>
      </c>
      <c r="M246" s="12">
        <v>6.8284000000000002</v>
      </c>
      <c r="N246" s="12">
        <v>0</v>
      </c>
      <c r="O246" s="12">
        <v>7.1204999999999998</v>
      </c>
    </row>
    <row r="247" spans="1:15" x14ac:dyDescent="0.3">
      <c r="A247" s="25" t="s">
        <v>838</v>
      </c>
      <c r="B247" s="25" t="s">
        <v>901</v>
      </c>
      <c r="C247" s="25" t="s">
        <v>902</v>
      </c>
      <c r="D247" s="25" t="s">
        <v>903</v>
      </c>
      <c r="E247" s="25" t="s">
        <v>144</v>
      </c>
      <c r="F247" s="12">
        <v>0</v>
      </c>
      <c r="G247" s="12">
        <v>0</v>
      </c>
      <c r="H247" s="12">
        <v>232.68620000000001</v>
      </c>
      <c r="I247" s="12">
        <v>64.010199999999998</v>
      </c>
      <c r="J247" s="12">
        <v>328.22550000000001</v>
      </c>
      <c r="K247" s="12">
        <v>528.03290000000004</v>
      </c>
      <c r="L247" s="12">
        <v>587.90380000000005</v>
      </c>
      <c r="M247" s="12">
        <v>1694.3294000000001</v>
      </c>
      <c r="N247" s="12">
        <v>927.22389999999996</v>
      </c>
      <c r="O247" s="12">
        <v>1158.1374000000001</v>
      </c>
    </row>
    <row r="248" spans="1:15" x14ac:dyDescent="0.3">
      <c r="A248" s="25" t="s">
        <v>838</v>
      </c>
      <c r="B248" s="25" t="s">
        <v>904</v>
      </c>
      <c r="C248" s="25" t="s">
        <v>905</v>
      </c>
      <c r="D248" s="25" t="s">
        <v>906</v>
      </c>
      <c r="E248" s="25" t="s">
        <v>144</v>
      </c>
      <c r="F248" s="12">
        <v>500.63819999999998</v>
      </c>
      <c r="G248" s="12">
        <v>0</v>
      </c>
      <c r="H248" s="12">
        <v>399.7321</v>
      </c>
      <c r="I248" s="12">
        <v>0</v>
      </c>
      <c r="J248" s="12">
        <v>98.418499999999995</v>
      </c>
      <c r="K248" s="12">
        <v>0</v>
      </c>
      <c r="L248" s="12">
        <v>0</v>
      </c>
      <c r="M248" s="12">
        <v>37.6</v>
      </c>
      <c r="N248" s="12">
        <v>201.72319999999999</v>
      </c>
      <c r="O248" s="12">
        <v>0</v>
      </c>
    </row>
    <row r="249" spans="1:15" x14ac:dyDescent="0.3">
      <c r="A249" s="25" t="s">
        <v>838</v>
      </c>
      <c r="B249" s="25" t="s">
        <v>907</v>
      </c>
      <c r="C249" s="25" t="s">
        <v>908</v>
      </c>
      <c r="D249" s="25" t="s">
        <v>909</v>
      </c>
      <c r="E249" s="25" t="s">
        <v>144</v>
      </c>
      <c r="F249" s="12">
        <v>500.63819999999998</v>
      </c>
      <c r="G249" s="12">
        <v>0</v>
      </c>
      <c r="H249" s="12">
        <v>399.7321</v>
      </c>
      <c r="I249" s="12">
        <v>0</v>
      </c>
      <c r="J249" s="12">
        <v>98.418499999999995</v>
      </c>
      <c r="K249" s="12">
        <v>0</v>
      </c>
      <c r="L249" s="12">
        <v>0</v>
      </c>
      <c r="M249" s="12">
        <v>37.6</v>
      </c>
      <c r="N249" s="12">
        <v>201.72319999999999</v>
      </c>
      <c r="O249" s="12">
        <v>0</v>
      </c>
    </row>
    <row r="250" spans="1:15" x14ac:dyDescent="0.3">
      <c r="A250" s="25" t="s">
        <v>838</v>
      </c>
      <c r="B250" s="25" t="s">
        <v>910</v>
      </c>
      <c r="C250" s="25" t="s">
        <v>911</v>
      </c>
      <c r="D250" s="25" t="s">
        <v>912</v>
      </c>
      <c r="E250" s="25" t="s">
        <v>144</v>
      </c>
      <c r="F250" s="12">
        <v>2915.5</v>
      </c>
      <c r="G250" s="12">
        <v>1627.5</v>
      </c>
      <c r="H250" s="12">
        <v>2571.5</v>
      </c>
      <c r="I250" s="12">
        <v>2774.75</v>
      </c>
      <c r="J250" s="12">
        <v>3242.25</v>
      </c>
      <c r="K250" s="12">
        <v>3936.25</v>
      </c>
      <c r="L250" s="12">
        <v>3496.75</v>
      </c>
      <c r="M250" s="12">
        <v>4561.75</v>
      </c>
      <c r="N250" s="12">
        <v>4661.79</v>
      </c>
      <c r="O250" s="12">
        <v>4659.25</v>
      </c>
    </row>
    <row r="251" spans="1:15" x14ac:dyDescent="0.3">
      <c r="A251" s="25" t="s">
        <v>838</v>
      </c>
      <c r="B251" s="25" t="s">
        <v>913</v>
      </c>
      <c r="C251" s="25" t="s">
        <v>914</v>
      </c>
      <c r="D251" s="25" t="s">
        <v>915</v>
      </c>
      <c r="E251" s="25" t="s">
        <v>144</v>
      </c>
      <c r="F251" s="12">
        <v>1105</v>
      </c>
      <c r="G251" s="12">
        <v>1117</v>
      </c>
      <c r="H251" s="12">
        <v>2271</v>
      </c>
      <c r="I251" s="12">
        <v>2574.75</v>
      </c>
      <c r="J251" s="12">
        <v>3042.25</v>
      </c>
      <c r="K251" s="12">
        <v>3686.25</v>
      </c>
      <c r="L251" s="12">
        <v>3396.75</v>
      </c>
      <c r="M251" s="12">
        <v>4461.75</v>
      </c>
      <c r="N251" s="12">
        <v>4561.79</v>
      </c>
      <c r="O251" s="12">
        <v>4359.25</v>
      </c>
    </row>
    <row r="252" spans="1:15" x14ac:dyDescent="0.3">
      <c r="A252" s="25" t="s">
        <v>838</v>
      </c>
      <c r="B252" s="25" t="s">
        <v>916</v>
      </c>
      <c r="C252" s="25" t="s">
        <v>908</v>
      </c>
      <c r="D252" s="25" t="s">
        <v>909</v>
      </c>
      <c r="E252" s="25" t="s">
        <v>144</v>
      </c>
      <c r="F252" s="12">
        <v>1810.5</v>
      </c>
      <c r="G252" s="12">
        <v>510.5</v>
      </c>
      <c r="H252" s="12">
        <v>300.5</v>
      </c>
      <c r="I252" s="12">
        <v>200</v>
      </c>
      <c r="J252" s="12">
        <v>200</v>
      </c>
      <c r="K252" s="12">
        <v>250</v>
      </c>
      <c r="L252" s="12">
        <v>100</v>
      </c>
      <c r="M252" s="12">
        <v>100</v>
      </c>
      <c r="N252" s="12">
        <v>100</v>
      </c>
      <c r="O252" s="12">
        <v>300</v>
      </c>
    </row>
    <row r="253" spans="1:15" x14ac:dyDescent="0.3">
      <c r="A253" s="25" t="s">
        <v>838</v>
      </c>
      <c r="B253" s="25" t="s">
        <v>917</v>
      </c>
      <c r="C253" s="25" t="s">
        <v>918</v>
      </c>
      <c r="D253" s="25" t="s">
        <v>919</v>
      </c>
      <c r="E253" s="25" t="s">
        <v>144</v>
      </c>
      <c r="F253" s="12">
        <v>3408.8220000000001</v>
      </c>
      <c r="G253" s="12">
        <v>3597.6709999999998</v>
      </c>
      <c r="H253" s="12">
        <v>4102.4592000000002</v>
      </c>
      <c r="I253" s="12">
        <v>3881.5855000000001</v>
      </c>
      <c r="J253" s="12">
        <v>4275.7030999999997</v>
      </c>
      <c r="K253" s="12">
        <v>5052.6166999999996</v>
      </c>
      <c r="L253" s="12">
        <v>5750.067</v>
      </c>
      <c r="M253" s="12">
        <v>5832.1911</v>
      </c>
      <c r="N253" s="12">
        <v>5909.5481</v>
      </c>
      <c r="O253" s="12">
        <v>6303.0648000000001</v>
      </c>
    </row>
    <row r="254" spans="1:15" x14ac:dyDescent="0.3">
      <c r="A254" s="25" t="s">
        <v>838</v>
      </c>
      <c r="B254" s="25" t="s">
        <v>920</v>
      </c>
      <c r="C254" s="25" t="s">
        <v>921</v>
      </c>
      <c r="D254" s="25" t="s">
        <v>922</v>
      </c>
      <c r="E254" s="25" t="s">
        <v>144</v>
      </c>
      <c r="F254" s="12">
        <v>3042.2635</v>
      </c>
      <c r="G254" s="12">
        <v>3411.0477999999998</v>
      </c>
      <c r="H254" s="12">
        <v>3978.8712</v>
      </c>
      <c r="I254" s="12">
        <v>3783.9688999999998</v>
      </c>
      <c r="J254" s="12">
        <v>4178.6102000000001</v>
      </c>
      <c r="K254" s="12">
        <v>4834.9591</v>
      </c>
      <c r="L254" s="12">
        <v>5493.3216000000002</v>
      </c>
      <c r="M254" s="12">
        <v>5248.0853999999999</v>
      </c>
      <c r="N254" s="12">
        <v>5655.5510000000004</v>
      </c>
      <c r="O254" s="12">
        <v>6125.1049999999996</v>
      </c>
    </row>
    <row r="255" spans="1:15" x14ac:dyDescent="0.3">
      <c r="A255" s="25" t="s">
        <v>838</v>
      </c>
      <c r="B255" s="25" t="s">
        <v>923</v>
      </c>
      <c r="C255" s="25" t="s">
        <v>924</v>
      </c>
      <c r="D255" s="25" t="s">
        <v>925</v>
      </c>
      <c r="E255" s="25" t="s">
        <v>144</v>
      </c>
      <c r="F255" s="12">
        <v>366.55840000000001</v>
      </c>
      <c r="G255" s="12">
        <v>186.6232</v>
      </c>
      <c r="H255" s="12">
        <v>123.58799999999999</v>
      </c>
      <c r="I255" s="12">
        <v>97.616600000000005</v>
      </c>
      <c r="J255" s="12">
        <v>97.093000000000004</v>
      </c>
      <c r="K255" s="12">
        <v>217.6575</v>
      </c>
      <c r="L255" s="12">
        <v>256.74540000000002</v>
      </c>
      <c r="M255" s="12">
        <v>584.10569999999996</v>
      </c>
      <c r="N255" s="12">
        <v>253.99709999999999</v>
      </c>
      <c r="O255" s="12">
        <v>177.9598</v>
      </c>
    </row>
    <row r="256" spans="1:15" x14ac:dyDescent="0.3">
      <c r="A256" s="25" t="s">
        <v>838</v>
      </c>
      <c r="B256" s="25" t="s">
        <v>926</v>
      </c>
      <c r="C256" s="25" t="s">
        <v>927</v>
      </c>
      <c r="D256" s="25" t="s">
        <v>415</v>
      </c>
      <c r="E256" s="25" t="s">
        <v>144</v>
      </c>
      <c r="F256" s="12">
        <v>0</v>
      </c>
      <c r="G256" s="12">
        <v>0</v>
      </c>
      <c r="H256" s="12">
        <v>0</v>
      </c>
      <c r="I256" s="12">
        <v>0</v>
      </c>
      <c r="J256" s="12">
        <v>0</v>
      </c>
      <c r="K256" s="12">
        <v>0</v>
      </c>
      <c r="L256" s="12">
        <v>0</v>
      </c>
      <c r="M256" s="12">
        <v>0</v>
      </c>
      <c r="N256" s="12">
        <v>0</v>
      </c>
      <c r="O256" s="12">
        <v>1054.8362</v>
      </c>
    </row>
    <row r="257" spans="1:15" x14ac:dyDescent="0.3">
      <c r="A257" s="25" t="s">
        <v>838</v>
      </c>
      <c r="B257" s="25" t="s">
        <v>928</v>
      </c>
      <c r="C257" s="25" t="s">
        <v>929</v>
      </c>
      <c r="D257" s="25" t="s">
        <v>930</v>
      </c>
      <c r="E257" s="25" t="s">
        <v>144</v>
      </c>
      <c r="F257" s="12">
        <v>0</v>
      </c>
      <c r="G257" s="12">
        <v>0</v>
      </c>
      <c r="H257" s="12">
        <v>0</v>
      </c>
      <c r="I257" s="12">
        <v>0</v>
      </c>
      <c r="J257" s="12">
        <v>0</v>
      </c>
      <c r="K257" s="12">
        <v>0</v>
      </c>
      <c r="L257" s="12">
        <v>0</v>
      </c>
      <c r="M257" s="12">
        <v>0</v>
      </c>
      <c r="N257" s="12">
        <v>0</v>
      </c>
      <c r="O257" s="12">
        <v>1054.8362</v>
      </c>
    </row>
    <row r="258" spans="1:15" x14ac:dyDescent="0.3">
      <c r="A258" s="25" t="s">
        <v>838</v>
      </c>
      <c r="B258" s="25" t="s">
        <v>931</v>
      </c>
      <c r="C258" s="25" t="s">
        <v>914</v>
      </c>
      <c r="D258" s="25" t="s">
        <v>932</v>
      </c>
      <c r="E258" s="25" t="s">
        <v>144</v>
      </c>
      <c r="F258" s="12">
        <v>0</v>
      </c>
      <c r="G258" s="12">
        <v>0</v>
      </c>
      <c r="H258" s="12">
        <v>0</v>
      </c>
      <c r="I258" s="12">
        <v>0</v>
      </c>
      <c r="J258" s="12">
        <v>0</v>
      </c>
      <c r="K258" s="12">
        <v>0</v>
      </c>
      <c r="L258" s="12">
        <v>0</v>
      </c>
      <c r="M258" s="12">
        <v>0</v>
      </c>
      <c r="N258" s="12">
        <v>0</v>
      </c>
      <c r="O258" s="12">
        <v>0.1</v>
      </c>
    </row>
    <row r="259" spans="1:15" x14ac:dyDescent="0.3">
      <c r="A259" s="25" t="s">
        <v>838</v>
      </c>
      <c r="B259" s="25" t="s">
        <v>933</v>
      </c>
      <c r="C259" s="25" t="s">
        <v>902</v>
      </c>
      <c r="D259" s="25" t="s">
        <v>903</v>
      </c>
      <c r="E259" s="25" t="s">
        <v>144</v>
      </c>
      <c r="F259" s="12">
        <v>0</v>
      </c>
      <c r="G259" s="12">
        <v>0</v>
      </c>
      <c r="H259" s="12">
        <v>0</v>
      </c>
      <c r="I259" s="12">
        <v>0</v>
      </c>
      <c r="J259" s="12">
        <v>0</v>
      </c>
      <c r="K259" s="12">
        <v>0</v>
      </c>
      <c r="L259" s="12">
        <v>0</v>
      </c>
      <c r="M259" s="12">
        <v>0</v>
      </c>
      <c r="N259" s="12">
        <v>0</v>
      </c>
      <c r="O259" s="12">
        <v>1054.7362000000001</v>
      </c>
    </row>
    <row r="260" spans="1:15" x14ac:dyDescent="0.3">
      <c r="A260" s="11" t="s">
        <v>838</v>
      </c>
      <c r="B260" s="11" t="s">
        <v>934</v>
      </c>
      <c r="C260" s="11" t="s">
        <v>935</v>
      </c>
      <c r="D260" s="11" t="s">
        <v>936</v>
      </c>
      <c r="E260" s="11" t="s">
        <v>144</v>
      </c>
      <c r="F260" s="12">
        <v>621.22820000000002</v>
      </c>
      <c r="G260" s="12">
        <v>0</v>
      </c>
      <c r="H260" s="12">
        <v>4877.6292000000003</v>
      </c>
      <c r="I260" s="12">
        <v>167.08459999999999</v>
      </c>
      <c r="J260" s="12">
        <v>4783.3013000000001</v>
      </c>
      <c r="K260" s="12">
        <v>743.51710000000003</v>
      </c>
      <c r="L260" s="12">
        <v>6711.8775999999998</v>
      </c>
      <c r="M260" s="12">
        <v>2085.4708000000001</v>
      </c>
      <c r="N260" s="12">
        <v>7356.1130000000003</v>
      </c>
      <c r="O260" s="12">
        <v>7779.9207999999999</v>
      </c>
    </row>
    <row r="261" spans="1:15" x14ac:dyDescent="0.3">
      <c r="A261" s="25" t="s">
        <v>838</v>
      </c>
      <c r="B261" s="25" t="s">
        <v>937</v>
      </c>
      <c r="C261" s="25" t="s">
        <v>927</v>
      </c>
      <c r="D261" s="25" t="s">
        <v>938</v>
      </c>
      <c r="E261" s="25" t="s">
        <v>144</v>
      </c>
      <c r="F261" s="12">
        <v>621.22820000000002</v>
      </c>
      <c r="G261" s="12">
        <v>0</v>
      </c>
      <c r="H261" s="12">
        <v>746.00660000000005</v>
      </c>
      <c r="I261" s="12">
        <v>167.08459999999999</v>
      </c>
      <c r="J261" s="12">
        <v>554.59270000000004</v>
      </c>
      <c r="K261" s="12">
        <v>743.51710000000003</v>
      </c>
      <c r="L261" s="12">
        <v>1009.1309</v>
      </c>
      <c r="M261" s="12">
        <v>2085.4708000000001</v>
      </c>
      <c r="N261" s="12">
        <v>1503.9150999999999</v>
      </c>
      <c r="O261" s="12">
        <v>1539.9393</v>
      </c>
    </row>
    <row r="262" spans="1:15" x14ac:dyDescent="0.3">
      <c r="A262" s="25" t="s">
        <v>838</v>
      </c>
      <c r="B262" s="25" t="s">
        <v>939</v>
      </c>
      <c r="C262" s="25" t="s">
        <v>893</v>
      </c>
      <c r="D262" s="25" t="s">
        <v>894</v>
      </c>
      <c r="E262" s="25" t="s">
        <v>144</v>
      </c>
      <c r="F262" s="12">
        <v>120.59010000000001</v>
      </c>
      <c r="G262" s="12">
        <v>0</v>
      </c>
      <c r="H262" s="12">
        <v>346.27449999999999</v>
      </c>
      <c r="I262" s="12">
        <v>167.08459999999999</v>
      </c>
      <c r="J262" s="12">
        <v>456.17419999999998</v>
      </c>
      <c r="K262" s="12">
        <v>743.51710000000003</v>
      </c>
      <c r="L262" s="12">
        <v>1009.1309</v>
      </c>
      <c r="M262" s="12">
        <v>2047.8707999999999</v>
      </c>
      <c r="N262" s="12">
        <v>1302.1919</v>
      </c>
      <c r="O262" s="12">
        <v>1539.9393</v>
      </c>
    </row>
    <row r="263" spans="1:15" x14ac:dyDescent="0.3">
      <c r="A263" s="25" t="s">
        <v>838</v>
      </c>
      <c r="B263" s="25" t="s">
        <v>940</v>
      </c>
      <c r="C263" s="25" t="s">
        <v>896</v>
      </c>
      <c r="D263" s="25" t="s">
        <v>897</v>
      </c>
      <c r="E263" s="25" t="s">
        <v>144</v>
      </c>
      <c r="F263" s="12">
        <v>120.59010000000001</v>
      </c>
      <c r="G263" s="12">
        <v>0</v>
      </c>
      <c r="H263" s="12">
        <v>114.1815</v>
      </c>
      <c r="I263" s="12">
        <v>104.3074</v>
      </c>
      <c r="J263" s="12">
        <v>128.7542</v>
      </c>
      <c r="K263" s="12">
        <v>208.59809999999999</v>
      </c>
      <c r="L263" s="12">
        <v>421.12029999999999</v>
      </c>
      <c r="M263" s="12">
        <v>355.94459999999998</v>
      </c>
      <c r="N263" s="12">
        <v>385.57069999999999</v>
      </c>
      <c r="O263" s="12">
        <v>373.89839999999998</v>
      </c>
    </row>
    <row r="264" spans="1:15" x14ac:dyDescent="0.3">
      <c r="A264" s="25" t="s">
        <v>838</v>
      </c>
      <c r="B264" s="25" t="s">
        <v>941</v>
      </c>
      <c r="C264" s="25" t="s">
        <v>899</v>
      </c>
      <c r="D264" s="25" t="s">
        <v>900</v>
      </c>
      <c r="E264" s="25" t="s">
        <v>144</v>
      </c>
      <c r="F264" s="12">
        <v>0</v>
      </c>
      <c r="G264" s="12">
        <v>0</v>
      </c>
      <c r="H264" s="12">
        <v>0</v>
      </c>
      <c r="I264" s="12">
        <v>2.1463000000000001</v>
      </c>
      <c r="J264" s="12">
        <v>0</v>
      </c>
      <c r="K264" s="12">
        <v>7.0528000000000004</v>
      </c>
      <c r="L264" s="12">
        <v>0</v>
      </c>
      <c r="M264" s="12">
        <v>6.9314</v>
      </c>
      <c r="N264" s="12">
        <v>0</v>
      </c>
      <c r="O264" s="12">
        <v>7.3003</v>
      </c>
    </row>
    <row r="265" spans="1:15" x14ac:dyDescent="0.3">
      <c r="A265" s="25" t="s">
        <v>838</v>
      </c>
      <c r="B265" s="25" t="s">
        <v>942</v>
      </c>
      <c r="C265" s="25" t="s">
        <v>902</v>
      </c>
      <c r="D265" s="25" t="s">
        <v>943</v>
      </c>
      <c r="E265" s="25" t="s">
        <v>144</v>
      </c>
      <c r="F265" s="12">
        <v>0</v>
      </c>
      <c r="G265" s="12">
        <v>0</v>
      </c>
      <c r="H265" s="12">
        <v>232.09299999999999</v>
      </c>
      <c r="I265" s="12">
        <v>60.630899999999997</v>
      </c>
      <c r="J265" s="12">
        <v>327.42</v>
      </c>
      <c r="K265" s="12">
        <v>527.86630000000002</v>
      </c>
      <c r="L265" s="12">
        <v>588.01070000000004</v>
      </c>
      <c r="M265" s="12">
        <v>1684.9948999999999</v>
      </c>
      <c r="N265" s="12">
        <v>916.62130000000002</v>
      </c>
      <c r="O265" s="12">
        <v>1158.7406000000001</v>
      </c>
    </row>
    <row r="266" spans="1:15" x14ac:dyDescent="0.3">
      <c r="A266" s="25" t="s">
        <v>838</v>
      </c>
      <c r="B266" s="25" t="s">
        <v>944</v>
      </c>
      <c r="C266" s="25" t="s">
        <v>905</v>
      </c>
      <c r="D266" s="25" t="s">
        <v>906</v>
      </c>
      <c r="E266" s="25" t="s">
        <v>144</v>
      </c>
      <c r="F266" s="12">
        <v>500.63819999999998</v>
      </c>
      <c r="G266" s="12">
        <v>0</v>
      </c>
      <c r="H266" s="12">
        <v>399.7321</v>
      </c>
      <c r="I266" s="12">
        <v>0</v>
      </c>
      <c r="J266" s="12">
        <v>98.418499999999995</v>
      </c>
      <c r="K266" s="12">
        <v>0</v>
      </c>
      <c r="L266" s="12">
        <v>0</v>
      </c>
      <c r="M266" s="12">
        <v>37.6</v>
      </c>
      <c r="N266" s="12">
        <v>201.72319999999999</v>
      </c>
      <c r="O266" s="12">
        <v>0</v>
      </c>
    </row>
    <row r="267" spans="1:15" x14ac:dyDescent="0.3">
      <c r="A267" s="25" t="s">
        <v>838</v>
      </c>
      <c r="B267" s="25" t="s">
        <v>945</v>
      </c>
      <c r="C267" s="25" t="s">
        <v>908</v>
      </c>
      <c r="D267" s="25" t="s">
        <v>909</v>
      </c>
      <c r="E267" s="25" t="s">
        <v>144</v>
      </c>
      <c r="F267" s="12">
        <v>500.63819999999998</v>
      </c>
      <c r="G267" s="12">
        <v>0</v>
      </c>
      <c r="H267" s="12">
        <v>399.7321</v>
      </c>
      <c r="I267" s="12">
        <v>0</v>
      </c>
      <c r="J267" s="12">
        <v>98.418499999999995</v>
      </c>
      <c r="K267" s="12">
        <v>0</v>
      </c>
      <c r="L267" s="12">
        <v>0</v>
      </c>
      <c r="M267" s="12">
        <v>37.6</v>
      </c>
      <c r="N267" s="12">
        <v>201.72319999999999</v>
      </c>
      <c r="O267" s="12">
        <v>0</v>
      </c>
    </row>
    <row r="268" spans="1:15" x14ac:dyDescent="0.3">
      <c r="A268" s="25" t="s">
        <v>838</v>
      </c>
      <c r="B268" s="25" t="s">
        <v>946</v>
      </c>
      <c r="C268" s="25" t="s">
        <v>947</v>
      </c>
      <c r="D268" s="25" t="s">
        <v>948</v>
      </c>
      <c r="E268" s="25" t="s">
        <v>144</v>
      </c>
      <c r="F268" s="12">
        <v>0</v>
      </c>
      <c r="G268" s="12">
        <v>0</v>
      </c>
      <c r="H268" s="12">
        <v>4131.6225999999997</v>
      </c>
      <c r="I268" s="12">
        <v>0</v>
      </c>
      <c r="J268" s="12">
        <v>4228.7084999999997</v>
      </c>
      <c r="K268" s="12">
        <v>0</v>
      </c>
      <c r="L268" s="12">
        <v>5702.7466999999997</v>
      </c>
      <c r="M268" s="12">
        <v>0</v>
      </c>
      <c r="N268" s="12">
        <v>5852.1979000000001</v>
      </c>
      <c r="O268" s="12">
        <v>6239.9814999999999</v>
      </c>
    </row>
    <row r="269" spans="1:15" x14ac:dyDescent="0.3">
      <c r="A269" s="25" t="s">
        <v>838</v>
      </c>
      <c r="B269" s="25" t="s">
        <v>949</v>
      </c>
      <c r="C269" s="25" t="s">
        <v>921</v>
      </c>
      <c r="D269" s="25" t="s">
        <v>922</v>
      </c>
      <c r="E269" s="25" t="s">
        <v>144</v>
      </c>
      <c r="F269" s="12">
        <v>0</v>
      </c>
      <c r="G269" s="12">
        <v>0</v>
      </c>
      <c r="H269" s="12">
        <v>3944.9994000000002</v>
      </c>
      <c r="I269" s="12">
        <v>0</v>
      </c>
      <c r="J269" s="12">
        <v>4131.6154999999999</v>
      </c>
      <c r="K269" s="12">
        <v>0</v>
      </c>
      <c r="L269" s="12">
        <v>5446.0012999999999</v>
      </c>
      <c r="M269" s="12">
        <v>0</v>
      </c>
      <c r="N269" s="12">
        <v>5598.2007999999996</v>
      </c>
      <c r="O269" s="12">
        <v>6062.0217000000002</v>
      </c>
    </row>
    <row r="270" spans="1:15" x14ac:dyDescent="0.3">
      <c r="A270" s="25" t="s">
        <v>838</v>
      </c>
      <c r="B270" s="25" t="s">
        <v>950</v>
      </c>
      <c r="C270" s="25" t="s">
        <v>924</v>
      </c>
      <c r="D270" s="25" t="s">
        <v>925</v>
      </c>
      <c r="E270" s="25" t="s">
        <v>144</v>
      </c>
      <c r="F270" s="12">
        <v>0</v>
      </c>
      <c r="G270" s="12">
        <v>0</v>
      </c>
      <c r="H270" s="12">
        <v>186.6232</v>
      </c>
      <c r="I270" s="12">
        <v>0</v>
      </c>
      <c r="J270" s="12">
        <v>97.093000000000004</v>
      </c>
      <c r="K270" s="12">
        <v>0</v>
      </c>
      <c r="L270" s="12">
        <v>256.74540000000002</v>
      </c>
      <c r="M270" s="12">
        <v>0</v>
      </c>
      <c r="N270" s="12">
        <v>253.99709999999999</v>
      </c>
      <c r="O270" s="12">
        <v>177.9598</v>
      </c>
    </row>
    <row r="271" spans="1:15" x14ac:dyDescent="0.3">
      <c r="A271" s="11" t="s">
        <v>838</v>
      </c>
      <c r="B271" s="11" t="s">
        <v>951</v>
      </c>
      <c r="C271" s="11" t="s">
        <v>952</v>
      </c>
      <c r="D271" s="11" t="s">
        <v>953</v>
      </c>
      <c r="E271" s="11" t="s">
        <v>144</v>
      </c>
      <c r="F271" s="12">
        <v>0</v>
      </c>
      <c r="G271" s="12">
        <v>0</v>
      </c>
      <c r="H271" s="12">
        <v>0</v>
      </c>
      <c r="I271" s="12">
        <v>42.162199999999999</v>
      </c>
      <c r="J271" s="12">
        <v>0</v>
      </c>
      <c r="K271" s="12">
        <v>53.183799999999998</v>
      </c>
      <c r="L271" s="12">
        <v>47.320300000000003</v>
      </c>
      <c r="M271" s="12">
        <v>54.1188</v>
      </c>
      <c r="N271" s="12">
        <v>57.350200000000001</v>
      </c>
      <c r="O271" s="12">
        <v>63.083199999999998</v>
      </c>
    </row>
    <row r="272" spans="1:15" x14ac:dyDescent="0.3">
      <c r="A272" s="25" t="s">
        <v>838</v>
      </c>
      <c r="B272" s="25" t="s">
        <v>954</v>
      </c>
      <c r="C272" s="25" t="s">
        <v>918</v>
      </c>
      <c r="D272" s="25" t="s">
        <v>919</v>
      </c>
      <c r="E272" s="25" t="s">
        <v>144</v>
      </c>
      <c r="F272" s="12">
        <v>0</v>
      </c>
      <c r="G272" s="12">
        <v>0</v>
      </c>
      <c r="H272" s="12">
        <v>0</v>
      </c>
      <c r="I272" s="12">
        <v>42.162199999999999</v>
      </c>
      <c r="J272" s="12">
        <v>0</v>
      </c>
      <c r="K272" s="12">
        <v>53.183799999999998</v>
      </c>
      <c r="L272" s="12">
        <v>47.320300000000003</v>
      </c>
      <c r="M272" s="12">
        <v>54.1188</v>
      </c>
      <c r="N272" s="12">
        <v>57.350200000000001</v>
      </c>
      <c r="O272" s="12">
        <v>63.083199999999998</v>
      </c>
    </row>
    <row r="273" spans="1:15" x14ac:dyDescent="0.3">
      <c r="A273" s="11" t="s">
        <v>838</v>
      </c>
      <c r="B273" s="11" t="s">
        <v>955</v>
      </c>
      <c r="C273" s="11" t="s">
        <v>956</v>
      </c>
      <c r="D273" s="11" t="s">
        <v>957</v>
      </c>
      <c r="E273" s="11" t="s">
        <v>144</v>
      </c>
      <c r="F273" s="12">
        <v>25.1051</v>
      </c>
      <c r="G273" s="12">
        <v>0</v>
      </c>
      <c r="H273" s="12">
        <v>0</v>
      </c>
      <c r="I273" s="12">
        <v>0.54339999999999999</v>
      </c>
      <c r="J273" s="12">
        <v>318.46319999999997</v>
      </c>
      <c r="K273" s="12">
        <v>3.4948000000000001</v>
      </c>
      <c r="L273" s="12">
        <v>0</v>
      </c>
      <c r="M273" s="12">
        <v>0.01</v>
      </c>
      <c r="N273" s="12">
        <v>0.86160000000000003</v>
      </c>
      <c r="O273" s="12">
        <v>50.2316</v>
      </c>
    </row>
    <row r="274" spans="1:15" x14ac:dyDescent="0.3">
      <c r="A274" s="25" t="s">
        <v>838</v>
      </c>
      <c r="B274" s="25" t="s">
        <v>958</v>
      </c>
      <c r="C274" s="25" t="s">
        <v>959</v>
      </c>
      <c r="D274" s="25" t="s">
        <v>960</v>
      </c>
      <c r="E274" s="25" t="s">
        <v>144</v>
      </c>
      <c r="F274" s="12">
        <v>25.1051</v>
      </c>
      <c r="G274" s="12">
        <v>0</v>
      </c>
      <c r="H274" s="12">
        <v>0</v>
      </c>
      <c r="I274" s="12">
        <v>0.54339999999999999</v>
      </c>
      <c r="J274" s="12">
        <v>318.46319999999997</v>
      </c>
      <c r="K274" s="12">
        <v>3.4948000000000001</v>
      </c>
      <c r="L274" s="12">
        <v>0</v>
      </c>
      <c r="M274" s="12">
        <v>0.01</v>
      </c>
      <c r="N274" s="12">
        <v>0.86160000000000003</v>
      </c>
      <c r="O274" s="12">
        <v>50.2316</v>
      </c>
    </row>
    <row r="275" spans="1:15" x14ac:dyDescent="0.3">
      <c r="A275" s="11" t="s">
        <v>838</v>
      </c>
      <c r="B275" s="11" t="s">
        <v>961</v>
      </c>
      <c r="C275" s="11" t="s">
        <v>962</v>
      </c>
      <c r="D275" s="11" t="s">
        <v>963</v>
      </c>
      <c r="E275" s="11" t="s">
        <v>144</v>
      </c>
      <c r="F275" s="12">
        <v>244.3261</v>
      </c>
      <c r="G275" s="12">
        <v>162.48429999999999</v>
      </c>
      <c r="H275" s="12">
        <v>216.21850000000001</v>
      </c>
      <c r="I275" s="12">
        <v>278.86559999999997</v>
      </c>
      <c r="J275" s="12">
        <v>0</v>
      </c>
      <c r="K275" s="12">
        <v>240.3811</v>
      </c>
      <c r="L275" s="12">
        <v>249.82730000000001</v>
      </c>
      <c r="M275" s="12">
        <v>310.0378</v>
      </c>
      <c r="N275" s="12">
        <v>340.0335</v>
      </c>
      <c r="O275" s="12">
        <v>326.82889999999998</v>
      </c>
    </row>
    <row r="276" spans="1:15" x14ac:dyDescent="0.3">
      <c r="A276" s="25" t="s">
        <v>838</v>
      </c>
      <c r="B276" s="25" t="s">
        <v>964</v>
      </c>
      <c r="C276" s="25" t="s">
        <v>965</v>
      </c>
      <c r="D276" s="25" t="s">
        <v>966</v>
      </c>
      <c r="E276" s="25" t="s">
        <v>144</v>
      </c>
      <c r="F276" s="12">
        <v>244.3261</v>
      </c>
      <c r="G276" s="12">
        <v>162.48429999999999</v>
      </c>
      <c r="H276" s="12">
        <v>216.21850000000001</v>
      </c>
      <c r="I276" s="12">
        <v>278.86559999999997</v>
      </c>
      <c r="J276" s="12">
        <v>0</v>
      </c>
      <c r="K276" s="12">
        <v>0</v>
      </c>
      <c r="L276" s="12">
        <v>0</v>
      </c>
      <c r="M276" s="12">
        <v>310.0378</v>
      </c>
      <c r="N276" s="12">
        <v>0</v>
      </c>
      <c r="O276" s="12">
        <v>0</v>
      </c>
    </row>
    <row r="277" spans="1:15" x14ac:dyDescent="0.3">
      <c r="A277" s="25" t="s">
        <v>838</v>
      </c>
      <c r="B277" s="25" t="s">
        <v>967</v>
      </c>
      <c r="C277" s="25" t="s">
        <v>968</v>
      </c>
      <c r="D277" s="25" t="s">
        <v>969</v>
      </c>
      <c r="E277" s="25" t="s">
        <v>144</v>
      </c>
      <c r="F277" s="12">
        <v>0</v>
      </c>
      <c r="G277" s="12">
        <v>0</v>
      </c>
      <c r="H277" s="12">
        <v>0</v>
      </c>
      <c r="I277" s="12">
        <v>0</v>
      </c>
      <c r="J277" s="12">
        <v>0</v>
      </c>
      <c r="K277" s="12">
        <v>240.3811</v>
      </c>
      <c r="L277" s="12">
        <v>249.82730000000001</v>
      </c>
      <c r="M277" s="12">
        <v>0</v>
      </c>
      <c r="N277" s="12">
        <v>340.0335</v>
      </c>
      <c r="O277" s="12">
        <v>326.82889999999998</v>
      </c>
    </row>
    <row r="278" spans="1:15" x14ac:dyDescent="0.3">
      <c r="A278" s="11" t="s">
        <v>838</v>
      </c>
      <c r="B278" s="11" t="s">
        <v>970</v>
      </c>
      <c r="C278" s="11" t="s">
        <v>971</v>
      </c>
      <c r="D278" s="11" t="s">
        <v>972</v>
      </c>
      <c r="E278" s="11" t="s">
        <v>144</v>
      </c>
      <c r="F278" s="12">
        <v>1.37</v>
      </c>
      <c r="G278" s="12">
        <v>1.3723000000000001</v>
      </c>
      <c r="H278" s="12">
        <v>1.5205</v>
      </c>
      <c r="I278" s="12">
        <v>1.7768999999999999</v>
      </c>
      <c r="J278" s="12">
        <v>1.9625999999999999</v>
      </c>
      <c r="K278" s="12">
        <v>2.0556000000000001</v>
      </c>
      <c r="L278" s="12">
        <v>3.5413000000000001</v>
      </c>
      <c r="M278" s="12">
        <v>7.4150999999999998</v>
      </c>
      <c r="N278" s="12">
        <v>3.3963000000000001</v>
      </c>
      <c r="O278" s="12">
        <v>3.5346000000000002</v>
      </c>
    </row>
    <row r="279" spans="1:15" x14ac:dyDescent="0.3">
      <c r="A279" s="25" t="s">
        <v>838</v>
      </c>
      <c r="B279" s="25" t="s">
        <v>973</v>
      </c>
      <c r="C279" s="25" t="s">
        <v>974</v>
      </c>
      <c r="D279" s="25" t="s">
        <v>975</v>
      </c>
      <c r="E279" s="25" t="s">
        <v>144</v>
      </c>
      <c r="F279" s="12">
        <v>0</v>
      </c>
      <c r="G279" s="12">
        <v>0</v>
      </c>
      <c r="H279" s="12">
        <v>0</v>
      </c>
      <c r="I279" s="12">
        <v>0</v>
      </c>
      <c r="J279" s="12">
        <v>0</v>
      </c>
      <c r="K279" s="12">
        <v>0</v>
      </c>
      <c r="L279" s="12">
        <v>1.1393</v>
      </c>
      <c r="M279" s="12">
        <v>1.6154999999999999</v>
      </c>
      <c r="N279" s="12">
        <v>0.82099999999999995</v>
      </c>
      <c r="O279" s="12">
        <v>0.61599999999999999</v>
      </c>
    </row>
    <row r="280" spans="1:15" x14ac:dyDescent="0.3">
      <c r="A280" s="25" t="s">
        <v>838</v>
      </c>
      <c r="B280" s="25" t="s">
        <v>976</v>
      </c>
      <c r="C280" s="25" t="s">
        <v>977</v>
      </c>
      <c r="D280" s="25" t="s">
        <v>978</v>
      </c>
      <c r="E280" s="25" t="s">
        <v>144</v>
      </c>
      <c r="F280" s="12">
        <v>0</v>
      </c>
      <c r="G280" s="12">
        <v>0</v>
      </c>
      <c r="H280" s="12">
        <v>0</v>
      </c>
      <c r="I280" s="12">
        <v>0</v>
      </c>
      <c r="J280" s="12">
        <v>0</v>
      </c>
      <c r="K280" s="12">
        <v>0</v>
      </c>
      <c r="L280" s="12">
        <v>0</v>
      </c>
      <c r="M280" s="12">
        <v>1</v>
      </c>
      <c r="N280" s="12">
        <v>0</v>
      </c>
      <c r="O280" s="12">
        <v>0</v>
      </c>
    </row>
    <row r="281" spans="1:15" x14ac:dyDescent="0.3">
      <c r="A281" s="25" t="s">
        <v>838</v>
      </c>
      <c r="B281" s="25" t="s">
        <v>979</v>
      </c>
      <c r="C281" s="25" t="s">
        <v>980</v>
      </c>
      <c r="D281" s="25" t="s">
        <v>981</v>
      </c>
      <c r="E281" s="25" t="s">
        <v>144</v>
      </c>
      <c r="F281" s="12">
        <v>1.37</v>
      </c>
      <c r="G281" s="12">
        <v>0</v>
      </c>
      <c r="H281" s="12">
        <v>0</v>
      </c>
      <c r="I281" s="12">
        <v>0</v>
      </c>
      <c r="J281" s="12">
        <v>0</v>
      </c>
      <c r="K281" s="12">
        <v>0</v>
      </c>
      <c r="L281" s="12">
        <v>0</v>
      </c>
      <c r="M281" s="12">
        <v>1.9191</v>
      </c>
      <c r="N281" s="12">
        <v>0</v>
      </c>
      <c r="O281" s="12">
        <v>0.44009999999999999</v>
      </c>
    </row>
    <row r="282" spans="1:15" x14ac:dyDescent="0.3">
      <c r="A282" s="25" t="s">
        <v>838</v>
      </c>
      <c r="B282" s="25" t="s">
        <v>982</v>
      </c>
      <c r="C282" s="25" t="s">
        <v>983</v>
      </c>
      <c r="D282" s="25" t="s">
        <v>984</v>
      </c>
      <c r="E282" s="25" t="s">
        <v>144</v>
      </c>
      <c r="F282" s="12">
        <v>0</v>
      </c>
      <c r="G282" s="12">
        <v>1.3723000000000001</v>
      </c>
      <c r="H282" s="12">
        <v>1.5205</v>
      </c>
      <c r="I282" s="12">
        <v>1.7768999999999999</v>
      </c>
      <c r="J282" s="12">
        <v>1.9625999999999999</v>
      </c>
      <c r="K282" s="12">
        <v>2.0463</v>
      </c>
      <c r="L282" s="12">
        <v>2.3908</v>
      </c>
      <c r="M282" s="12">
        <v>2.8698999999999999</v>
      </c>
      <c r="N282" s="12">
        <v>2.5638000000000001</v>
      </c>
      <c r="O282" s="12">
        <v>2.4704000000000002</v>
      </c>
    </row>
    <row r="283" spans="1:15" x14ac:dyDescent="0.3">
      <c r="A283" s="25" t="s">
        <v>838</v>
      </c>
      <c r="B283" s="25" t="s">
        <v>985</v>
      </c>
      <c r="C283" s="25" t="s">
        <v>986</v>
      </c>
      <c r="D283" s="25" t="s">
        <v>987</v>
      </c>
      <c r="E283" s="25" t="s">
        <v>144</v>
      </c>
      <c r="F283" s="12">
        <v>0</v>
      </c>
      <c r="G283" s="12">
        <v>0</v>
      </c>
      <c r="H283" s="12">
        <v>0</v>
      </c>
      <c r="I283" s="12">
        <v>0</v>
      </c>
      <c r="J283" s="12">
        <v>0</v>
      </c>
      <c r="K283" s="12">
        <v>9.2999999999999992E-3</v>
      </c>
      <c r="L283" s="12">
        <v>1.12E-2</v>
      </c>
      <c r="M283" s="12">
        <v>1.0699999999999999E-2</v>
      </c>
      <c r="N283" s="12">
        <v>1.1599999999999999E-2</v>
      </c>
      <c r="O283" s="12">
        <v>8.0999999999999996E-3</v>
      </c>
    </row>
    <row r="284" spans="1:15" x14ac:dyDescent="0.3">
      <c r="A284" s="11" t="s">
        <v>838</v>
      </c>
      <c r="B284" s="11" t="s">
        <v>988</v>
      </c>
      <c r="C284" s="11" t="s">
        <v>989</v>
      </c>
      <c r="D284" s="11" t="s">
        <v>990</v>
      </c>
      <c r="E284" s="11" t="s">
        <v>144</v>
      </c>
      <c r="F284" s="12">
        <v>12.3436</v>
      </c>
      <c r="G284" s="12">
        <v>9.3876000000000008</v>
      </c>
      <c r="H284" s="12">
        <v>5.7831999999999999</v>
      </c>
      <c r="I284" s="12">
        <v>4.6193</v>
      </c>
      <c r="J284" s="12">
        <v>7.3639999999999999</v>
      </c>
      <c r="K284" s="12">
        <v>9.1892999999999994</v>
      </c>
      <c r="L284" s="12">
        <v>8.2323000000000004</v>
      </c>
      <c r="M284" s="12">
        <v>5.2243000000000004</v>
      </c>
      <c r="N284" s="12">
        <v>21.257999999999999</v>
      </c>
      <c r="O284" s="12">
        <v>1.302</v>
      </c>
    </row>
    <row r="285" spans="1:15" x14ac:dyDescent="0.3">
      <c r="A285" s="25" t="s">
        <v>838</v>
      </c>
      <c r="B285" s="25" t="s">
        <v>991</v>
      </c>
      <c r="C285" s="25" t="s">
        <v>992</v>
      </c>
      <c r="D285" s="25" t="s">
        <v>993</v>
      </c>
      <c r="E285" s="25" t="s">
        <v>144</v>
      </c>
      <c r="F285" s="12">
        <v>12.3436</v>
      </c>
      <c r="G285" s="12">
        <v>9.3876000000000008</v>
      </c>
      <c r="H285" s="12">
        <v>5.7831999999999999</v>
      </c>
      <c r="I285" s="12">
        <v>4.6193</v>
      </c>
      <c r="J285" s="12">
        <v>7.3639999999999999</v>
      </c>
      <c r="K285" s="12">
        <v>9.1892999999999994</v>
      </c>
      <c r="L285" s="12">
        <v>8.2323000000000004</v>
      </c>
      <c r="M285" s="12">
        <v>5.2243000000000004</v>
      </c>
      <c r="N285" s="12">
        <v>21.257999999999999</v>
      </c>
      <c r="O285" s="12">
        <v>1.302</v>
      </c>
    </row>
    <row r="286" spans="1:15" x14ac:dyDescent="0.3">
      <c r="A286" s="11" t="s">
        <v>838</v>
      </c>
      <c r="B286" s="11" t="s">
        <v>994</v>
      </c>
      <c r="C286" s="11" t="s">
        <v>995</v>
      </c>
      <c r="D286" s="11" t="s">
        <v>996</v>
      </c>
      <c r="E286" s="11" t="s">
        <v>144</v>
      </c>
      <c r="F286" s="12">
        <v>19.724299999999999</v>
      </c>
      <c r="G286" s="12">
        <v>20.916799999999999</v>
      </c>
      <c r="H286" s="12">
        <v>24.267700000000001</v>
      </c>
      <c r="I286" s="12">
        <v>23.334900000000001</v>
      </c>
      <c r="J286" s="12">
        <v>23.585899999999999</v>
      </c>
      <c r="K286" s="12">
        <v>23.869399999999999</v>
      </c>
      <c r="L286" s="12">
        <v>24.940200000000001</v>
      </c>
      <c r="M286" s="12">
        <v>28.9</v>
      </c>
      <c r="N286" s="12">
        <v>29.591899999999999</v>
      </c>
      <c r="O286" s="12">
        <v>37.401200000000003</v>
      </c>
    </row>
    <row r="287" spans="1:15" x14ac:dyDescent="0.3">
      <c r="A287" s="25" t="s">
        <v>838</v>
      </c>
      <c r="B287" s="25" t="s">
        <v>997</v>
      </c>
      <c r="C287" s="25" t="s">
        <v>998</v>
      </c>
      <c r="D287" s="25" t="s">
        <v>999</v>
      </c>
      <c r="E287" s="25" t="s">
        <v>144</v>
      </c>
      <c r="F287" s="12">
        <v>19.518899999999999</v>
      </c>
      <c r="G287" s="12">
        <v>19.518899999999999</v>
      </c>
      <c r="H287" s="12">
        <v>19.518899999999999</v>
      </c>
      <c r="I287" s="12">
        <v>19.518899999999999</v>
      </c>
      <c r="J287" s="12">
        <v>23.334900000000001</v>
      </c>
      <c r="K287" s="12">
        <v>23.334900000000001</v>
      </c>
      <c r="L287" s="12">
        <v>23.334900000000001</v>
      </c>
      <c r="M287" s="12">
        <v>23.334900000000001</v>
      </c>
      <c r="N287" s="12">
        <v>28.9</v>
      </c>
      <c r="O287" s="12">
        <v>28.9</v>
      </c>
    </row>
    <row r="288" spans="1:15" x14ac:dyDescent="0.3">
      <c r="A288" s="25" t="s">
        <v>838</v>
      </c>
      <c r="B288" s="25" t="s">
        <v>1000</v>
      </c>
      <c r="C288" s="25" t="s">
        <v>1001</v>
      </c>
      <c r="D288" s="25" t="s">
        <v>1002</v>
      </c>
      <c r="E288" s="25" t="s">
        <v>144</v>
      </c>
      <c r="F288" s="12">
        <v>0.2054</v>
      </c>
      <c r="G288" s="12">
        <v>1.3978999999999999</v>
      </c>
      <c r="H288" s="12">
        <v>4.7487000000000004</v>
      </c>
      <c r="I288" s="12">
        <v>5.3878000000000004</v>
      </c>
      <c r="J288" s="12">
        <v>0.25109999999999999</v>
      </c>
      <c r="K288" s="12">
        <v>0.53459999999999996</v>
      </c>
      <c r="L288" s="12">
        <v>1.6052999999999999</v>
      </c>
      <c r="M288" s="12">
        <v>5.5651000000000002</v>
      </c>
      <c r="N288" s="12">
        <v>0.69189999999999996</v>
      </c>
      <c r="O288" s="12">
        <v>8.5012000000000008</v>
      </c>
    </row>
    <row r="289" spans="1:15" x14ac:dyDescent="0.3">
      <c r="A289" s="25" t="s">
        <v>838</v>
      </c>
      <c r="B289" s="25" t="s">
        <v>1003</v>
      </c>
      <c r="C289" s="25" t="s">
        <v>1004</v>
      </c>
      <c r="D289" s="25" t="s">
        <v>1005</v>
      </c>
      <c r="E289" s="25" t="s">
        <v>144</v>
      </c>
      <c r="F289" s="12">
        <v>0</v>
      </c>
      <c r="G289" s="12">
        <v>0</v>
      </c>
      <c r="H289" s="12">
        <v>0</v>
      </c>
      <c r="I289" s="12">
        <v>-1.5719000000000001</v>
      </c>
      <c r="J289" s="12">
        <v>0</v>
      </c>
      <c r="K289" s="12">
        <v>0</v>
      </c>
      <c r="L289" s="12">
        <v>0</v>
      </c>
      <c r="M289" s="12">
        <v>0</v>
      </c>
      <c r="N289" s="12">
        <v>0</v>
      </c>
      <c r="O289" s="12">
        <v>0</v>
      </c>
    </row>
    <row r="290" spans="1:15" x14ac:dyDescent="0.3">
      <c r="A290" s="11" t="s">
        <v>838</v>
      </c>
      <c r="B290" s="11" t="s">
        <v>1006</v>
      </c>
      <c r="C290" s="11" t="s">
        <v>1007</v>
      </c>
      <c r="D290" s="11" t="s">
        <v>1008</v>
      </c>
      <c r="E290" s="11" t="s">
        <v>144</v>
      </c>
      <c r="F290" s="12">
        <v>8.2385000000000002</v>
      </c>
      <c r="G290" s="12">
        <v>9.2936999999999994</v>
      </c>
      <c r="H290" s="12">
        <v>10.4534</v>
      </c>
      <c r="I290" s="12">
        <v>11.505800000000001</v>
      </c>
      <c r="J290" s="12">
        <v>12.7897</v>
      </c>
      <c r="K290" s="12">
        <v>14.1008</v>
      </c>
      <c r="L290" s="12">
        <v>15.307700000000001</v>
      </c>
      <c r="M290" s="12">
        <v>16.593299999999999</v>
      </c>
      <c r="N290" s="12">
        <v>18.024899999999999</v>
      </c>
      <c r="O290" s="12">
        <v>23.319500000000001</v>
      </c>
    </row>
    <row r="291" spans="1:15" x14ac:dyDescent="0.3">
      <c r="A291" s="25" t="s">
        <v>838</v>
      </c>
      <c r="B291" s="25" t="s">
        <v>1009</v>
      </c>
      <c r="C291" s="25" t="s">
        <v>1010</v>
      </c>
      <c r="D291" s="25" t="s">
        <v>999</v>
      </c>
      <c r="E291" s="25" t="s">
        <v>144</v>
      </c>
      <c r="F291" s="12">
        <v>7.2397</v>
      </c>
      <c r="G291" s="12">
        <v>7.2397</v>
      </c>
      <c r="H291" s="12">
        <v>7.2397</v>
      </c>
      <c r="I291" s="12">
        <v>7.2397</v>
      </c>
      <c r="J291" s="12">
        <v>11.505800000000001</v>
      </c>
      <c r="K291" s="12">
        <v>11.505800000000001</v>
      </c>
      <c r="L291" s="12">
        <v>11.505800000000001</v>
      </c>
      <c r="M291" s="12">
        <v>11.505800000000001</v>
      </c>
      <c r="N291" s="12">
        <v>16.593299999999999</v>
      </c>
      <c r="O291" s="12">
        <v>16.593299999999999</v>
      </c>
    </row>
    <row r="292" spans="1:15" x14ac:dyDescent="0.3">
      <c r="A292" s="25" t="s">
        <v>838</v>
      </c>
      <c r="B292" s="25" t="s">
        <v>1011</v>
      </c>
      <c r="C292" s="25" t="s">
        <v>1001</v>
      </c>
      <c r="D292" s="25" t="s">
        <v>1002</v>
      </c>
      <c r="E292" s="25" t="s">
        <v>144</v>
      </c>
      <c r="F292" s="12">
        <v>0.99890000000000001</v>
      </c>
      <c r="G292" s="12">
        <v>2.0541</v>
      </c>
      <c r="H292" s="12">
        <v>3.2136999999999998</v>
      </c>
      <c r="I292" s="12">
        <v>4.5274000000000001</v>
      </c>
      <c r="J292" s="12">
        <v>1.2838000000000001</v>
      </c>
      <c r="K292" s="12">
        <v>2.5950000000000002</v>
      </c>
      <c r="L292" s="12">
        <v>3.8018000000000001</v>
      </c>
      <c r="M292" s="12">
        <v>5.0875000000000004</v>
      </c>
      <c r="N292" s="12">
        <v>1.4315</v>
      </c>
      <c r="O292" s="12">
        <v>6.7260999999999997</v>
      </c>
    </row>
    <row r="293" spans="1:15" x14ac:dyDescent="0.3">
      <c r="A293" s="25" t="s">
        <v>838</v>
      </c>
      <c r="B293" s="25" t="s">
        <v>1012</v>
      </c>
      <c r="C293" s="25" t="s">
        <v>1004</v>
      </c>
      <c r="D293" s="25" t="s">
        <v>1005</v>
      </c>
      <c r="E293" s="25" t="s">
        <v>144</v>
      </c>
      <c r="F293" s="12">
        <v>0</v>
      </c>
      <c r="G293" s="12">
        <v>0</v>
      </c>
      <c r="H293" s="12">
        <v>0</v>
      </c>
      <c r="I293" s="12">
        <v>-0.26129999999999998</v>
      </c>
      <c r="J293" s="12">
        <v>0</v>
      </c>
      <c r="K293" s="12">
        <v>0</v>
      </c>
      <c r="L293" s="12">
        <v>0</v>
      </c>
      <c r="M293" s="12">
        <v>0</v>
      </c>
      <c r="N293" s="12">
        <v>0</v>
      </c>
      <c r="O293" s="12">
        <v>0</v>
      </c>
    </row>
    <row r="294" spans="1:15" x14ac:dyDescent="0.3">
      <c r="A294" s="11" t="s">
        <v>838</v>
      </c>
      <c r="B294" s="11" t="s">
        <v>1013</v>
      </c>
      <c r="C294" s="11" t="s">
        <v>1014</v>
      </c>
      <c r="D294" s="11" t="s">
        <v>1015</v>
      </c>
      <c r="E294" s="11" t="s">
        <v>144</v>
      </c>
      <c r="F294" s="12">
        <v>20.991800000000001</v>
      </c>
      <c r="G294" s="12">
        <v>20.991800000000001</v>
      </c>
      <c r="H294" s="12">
        <v>39.911799999999999</v>
      </c>
      <c r="I294" s="12">
        <v>51.823300000000003</v>
      </c>
      <c r="J294" s="12">
        <v>0</v>
      </c>
      <c r="K294" s="12">
        <v>60.536900000000003</v>
      </c>
      <c r="L294" s="12">
        <v>89.933300000000003</v>
      </c>
      <c r="M294" s="12">
        <v>89.933300000000003</v>
      </c>
      <c r="N294" s="12">
        <v>0</v>
      </c>
      <c r="O294" s="12">
        <v>149.82910000000001</v>
      </c>
    </row>
    <row r="295" spans="1:15" x14ac:dyDescent="0.3">
      <c r="A295" s="25" t="s">
        <v>838</v>
      </c>
      <c r="B295" s="25" t="s">
        <v>1016</v>
      </c>
      <c r="C295" s="25" t="s">
        <v>998</v>
      </c>
      <c r="D295" s="25" t="s">
        <v>999</v>
      </c>
      <c r="E295" s="25" t="s">
        <v>144</v>
      </c>
      <c r="F295" s="12">
        <v>20.991800000000001</v>
      </c>
      <c r="G295" s="12">
        <v>20.991800000000001</v>
      </c>
      <c r="H295" s="12">
        <v>20.991800000000001</v>
      </c>
      <c r="I295" s="12">
        <v>20.991800000000001</v>
      </c>
      <c r="J295" s="12">
        <v>0</v>
      </c>
      <c r="K295" s="12">
        <v>51.823300000000003</v>
      </c>
      <c r="L295" s="12">
        <v>51.823300000000003</v>
      </c>
      <c r="M295" s="12">
        <v>51.823300000000003</v>
      </c>
      <c r="N295" s="12">
        <v>0</v>
      </c>
      <c r="O295" s="12">
        <v>89.933300000000003</v>
      </c>
    </row>
    <row r="296" spans="1:15" x14ac:dyDescent="0.3">
      <c r="A296" s="25" t="s">
        <v>838</v>
      </c>
      <c r="B296" s="25" t="s">
        <v>1017</v>
      </c>
      <c r="C296" s="25" t="s">
        <v>1001</v>
      </c>
      <c r="D296" s="25" t="s">
        <v>1002</v>
      </c>
      <c r="E296" s="25" t="s">
        <v>144</v>
      </c>
      <c r="F296" s="12">
        <v>0</v>
      </c>
      <c r="G296" s="12">
        <v>0</v>
      </c>
      <c r="H296" s="12">
        <v>18.920000000000002</v>
      </c>
      <c r="I296" s="12">
        <v>30.831499999999998</v>
      </c>
      <c r="J296" s="12">
        <v>0</v>
      </c>
      <c r="K296" s="12">
        <v>8.7134999999999998</v>
      </c>
      <c r="L296" s="12">
        <v>38.109900000000003</v>
      </c>
      <c r="M296" s="12">
        <v>38.109900000000003</v>
      </c>
      <c r="N296" s="12">
        <v>0</v>
      </c>
      <c r="O296" s="12">
        <v>65.857799999999997</v>
      </c>
    </row>
    <row r="297" spans="1:15" x14ac:dyDescent="0.3">
      <c r="A297" s="25" t="s">
        <v>838</v>
      </c>
      <c r="B297" s="25" t="s">
        <v>1018</v>
      </c>
      <c r="C297" s="25" t="s">
        <v>1004</v>
      </c>
      <c r="D297" s="25" t="s">
        <v>1005</v>
      </c>
      <c r="E297" s="25" t="s">
        <v>144</v>
      </c>
      <c r="F297" s="12">
        <v>0</v>
      </c>
      <c r="G297" s="12">
        <v>0</v>
      </c>
      <c r="H297" s="12">
        <v>0</v>
      </c>
      <c r="I297" s="12">
        <v>0</v>
      </c>
      <c r="J297" s="12">
        <v>0</v>
      </c>
      <c r="K297" s="12">
        <v>0</v>
      </c>
      <c r="L297" s="12">
        <v>0</v>
      </c>
      <c r="M297" s="12">
        <v>0</v>
      </c>
      <c r="N297" s="12">
        <v>0</v>
      </c>
      <c r="O297" s="12">
        <v>-5.9619999999999997</v>
      </c>
    </row>
    <row r="298" spans="1:15" x14ac:dyDescent="0.3">
      <c r="A298" s="11" t="s">
        <v>838</v>
      </c>
      <c r="B298" s="11" t="s">
        <v>1019</v>
      </c>
      <c r="C298" s="11" t="s">
        <v>1020</v>
      </c>
      <c r="D298" s="11" t="s">
        <v>1021</v>
      </c>
      <c r="E298" s="11" t="s">
        <v>144</v>
      </c>
      <c r="F298" s="12">
        <v>2.1566999999999998</v>
      </c>
      <c r="G298" s="12">
        <v>3.2063000000000001</v>
      </c>
      <c r="H298" s="12">
        <v>4.5186000000000002</v>
      </c>
      <c r="I298" s="12">
        <v>7.1097999999999999</v>
      </c>
      <c r="J298" s="12">
        <v>0</v>
      </c>
      <c r="K298" s="12">
        <v>12.872999999999999</v>
      </c>
      <c r="L298" s="12">
        <v>16.816500000000001</v>
      </c>
      <c r="M298" s="12">
        <v>21.313199999999998</v>
      </c>
      <c r="N298" s="12">
        <v>0</v>
      </c>
      <c r="O298" s="12">
        <v>28.868200000000002</v>
      </c>
    </row>
    <row r="299" spans="1:15" x14ac:dyDescent="0.3">
      <c r="A299" s="25" t="s">
        <v>838</v>
      </c>
      <c r="B299" s="25" t="s">
        <v>1022</v>
      </c>
      <c r="C299" s="25" t="s">
        <v>1010</v>
      </c>
      <c r="D299" s="25" t="s">
        <v>999</v>
      </c>
      <c r="E299" s="25" t="s">
        <v>144</v>
      </c>
      <c r="F299" s="12">
        <v>1.1071</v>
      </c>
      <c r="G299" s="12">
        <v>1.1071</v>
      </c>
      <c r="H299" s="12">
        <v>1.1071</v>
      </c>
      <c r="I299" s="12">
        <v>1.1071</v>
      </c>
      <c r="J299" s="12">
        <v>0</v>
      </c>
      <c r="K299" s="12">
        <v>7.1097999999999999</v>
      </c>
      <c r="L299" s="12">
        <v>7.1097999999999999</v>
      </c>
      <c r="M299" s="12">
        <v>7.1097999999999999</v>
      </c>
      <c r="N299" s="12">
        <v>0</v>
      </c>
      <c r="O299" s="12">
        <v>21.313199999999998</v>
      </c>
    </row>
    <row r="300" spans="1:15" x14ac:dyDescent="0.3">
      <c r="A300" s="25" t="s">
        <v>838</v>
      </c>
      <c r="B300" s="25" t="s">
        <v>1023</v>
      </c>
      <c r="C300" s="25" t="s">
        <v>1001</v>
      </c>
      <c r="D300" s="25" t="s">
        <v>1002</v>
      </c>
      <c r="E300" s="25" t="s">
        <v>144</v>
      </c>
      <c r="F300" s="12">
        <v>1.0496000000000001</v>
      </c>
      <c r="G300" s="12">
        <v>2.0992000000000002</v>
      </c>
      <c r="H300" s="12">
        <v>3.4116</v>
      </c>
      <c r="I300" s="12">
        <v>6.0026999999999999</v>
      </c>
      <c r="J300" s="12">
        <v>0</v>
      </c>
      <c r="K300" s="12">
        <v>5.7632000000000003</v>
      </c>
      <c r="L300" s="12">
        <v>9.7066999999999997</v>
      </c>
      <c r="M300" s="12">
        <v>14.2034</v>
      </c>
      <c r="N300" s="12">
        <v>0</v>
      </c>
      <c r="O300" s="12">
        <v>11.1554</v>
      </c>
    </row>
    <row r="301" spans="1:15" x14ac:dyDescent="0.3">
      <c r="A301" s="25" t="s">
        <v>838</v>
      </c>
      <c r="B301" s="25" t="s">
        <v>1024</v>
      </c>
      <c r="C301" s="25" t="s">
        <v>1004</v>
      </c>
      <c r="D301" s="25" t="s">
        <v>1005</v>
      </c>
      <c r="E301" s="25" t="s">
        <v>144</v>
      </c>
      <c r="F301" s="12">
        <v>0</v>
      </c>
      <c r="G301" s="12">
        <v>0</v>
      </c>
      <c r="H301" s="12">
        <v>0</v>
      </c>
      <c r="I301" s="12">
        <v>0</v>
      </c>
      <c r="J301" s="12">
        <v>0</v>
      </c>
      <c r="K301" s="12">
        <v>0</v>
      </c>
      <c r="L301" s="12">
        <v>0</v>
      </c>
      <c r="M301" s="12">
        <v>0</v>
      </c>
      <c r="N301" s="12">
        <v>0</v>
      </c>
      <c r="O301" s="12">
        <v>-3.6004</v>
      </c>
    </row>
    <row r="302" spans="1:15" x14ac:dyDescent="0.3">
      <c r="A302" s="11" t="s">
        <v>838</v>
      </c>
      <c r="B302" s="11" t="s">
        <v>1025</v>
      </c>
      <c r="C302" s="11" t="s">
        <v>1026</v>
      </c>
      <c r="D302" s="11" t="s">
        <v>1027</v>
      </c>
      <c r="E302" s="11" t="s">
        <v>144</v>
      </c>
      <c r="F302" s="12">
        <v>74.850899999999996</v>
      </c>
      <c r="G302" s="12">
        <v>76.835599999999999</v>
      </c>
      <c r="H302" s="12">
        <v>77.498599999999996</v>
      </c>
      <c r="I302" s="12">
        <v>77.273600000000002</v>
      </c>
      <c r="J302" s="12">
        <v>77.273600000000002</v>
      </c>
      <c r="K302" s="12">
        <v>78.007800000000003</v>
      </c>
      <c r="L302" s="12">
        <v>78.543400000000005</v>
      </c>
      <c r="M302" s="12">
        <v>78.603700000000003</v>
      </c>
      <c r="N302" s="12">
        <v>78.832300000000004</v>
      </c>
      <c r="O302" s="12">
        <v>78.916300000000007</v>
      </c>
    </row>
    <row r="303" spans="1:15" x14ac:dyDescent="0.3">
      <c r="A303" s="25" t="s">
        <v>838</v>
      </c>
      <c r="B303" s="25" t="s">
        <v>1028</v>
      </c>
      <c r="C303" s="25" t="s">
        <v>998</v>
      </c>
      <c r="D303" s="25" t="s">
        <v>999</v>
      </c>
      <c r="E303" s="25" t="s">
        <v>144</v>
      </c>
      <c r="F303" s="12">
        <v>74.754300000000001</v>
      </c>
      <c r="G303" s="12">
        <v>74.754300000000001</v>
      </c>
      <c r="H303" s="12">
        <v>74.754300000000001</v>
      </c>
      <c r="I303" s="12">
        <v>74.754300000000001</v>
      </c>
      <c r="J303" s="12">
        <v>77.273600000000002</v>
      </c>
      <c r="K303" s="12">
        <v>77.273600000000002</v>
      </c>
      <c r="L303" s="12">
        <v>77.273600000000002</v>
      </c>
      <c r="M303" s="12">
        <v>77.273600000000002</v>
      </c>
      <c r="N303" s="12">
        <v>78.603700000000003</v>
      </c>
      <c r="O303" s="12">
        <v>78.603700000000003</v>
      </c>
    </row>
    <row r="304" spans="1:15" x14ac:dyDescent="0.3">
      <c r="A304" s="25" t="s">
        <v>838</v>
      </c>
      <c r="B304" s="25" t="s">
        <v>1029</v>
      </c>
      <c r="C304" s="25" t="s">
        <v>1001</v>
      </c>
      <c r="D304" s="25" t="s">
        <v>1002</v>
      </c>
      <c r="E304" s="25" t="s">
        <v>144</v>
      </c>
      <c r="F304" s="12">
        <v>9.6600000000000005E-2</v>
      </c>
      <c r="G304" s="12">
        <v>2.0813000000000001</v>
      </c>
      <c r="H304" s="12">
        <v>2.7443</v>
      </c>
      <c r="I304" s="12">
        <v>2.5192999999999999</v>
      </c>
      <c r="J304" s="12">
        <v>0</v>
      </c>
      <c r="K304" s="12">
        <v>0.73409999999999997</v>
      </c>
      <c r="L304" s="12">
        <v>1.2697000000000001</v>
      </c>
      <c r="M304" s="12">
        <v>1.33</v>
      </c>
      <c r="N304" s="12">
        <v>0.2286</v>
      </c>
      <c r="O304" s="12">
        <v>0.31259999999999999</v>
      </c>
    </row>
    <row r="305" spans="1:15" x14ac:dyDescent="0.3">
      <c r="A305" s="11" t="s">
        <v>838</v>
      </c>
      <c r="B305" s="11" t="s">
        <v>1030</v>
      </c>
      <c r="C305" s="11" t="s">
        <v>1031</v>
      </c>
      <c r="D305" s="11" t="s">
        <v>1032</v>
      </c>
      <c r="E305" s="11" t="s">
        <v>144</v>
      </c>
      <c r="F305" s="12">
        <v>25.911200000000001</v>
      </c>
      <c r="G305" s="12">
        <v>29.6462</v>
      </c>
      <c r="H305" s="12">
        <v>33.617699999999999</v>
      </c>
      <c r="I305" s="12">
        <v>37.606499999999997</v>
      </c>
      <c r="J305" s="12">
        <v>41.630699999999997</v>
      </c>
      <c r="K305" s="12">
        <v>45.672499999999999</v>
      </c>
      <c r="L305" s="12">
        <v>49.754800000000003</v>
      </c>
      <c r="M305" s="12">
        <v>53.729300000000002</v>
      </c>
      <c r="N305" s="12">
        <v>57.764000000000003</v>
      </c>
      <c r="O305" s="12">
        <v>61.915300000000002</v>
      </c>
    </row>
    <row r="306" spans="1:15" x14ac:dyDescent="0.3">
      <c r="A306" s="25" t="s">
        <v>838</v>
      </c>
      <c r="B306" s="25" t="s">
        <v>1033</v>
      </c>
      <c r="C306" s="25" t="s">
        <v>1010</v>
      </c>
      <c r="D306" s="25" t="s">
        <v>999</v>
      </c>
      <c r="E306" s="25" t="s">
        <v>144</v>
      </c>
      <c r="F306" s="12">
        <v>22.198</v>
      </c>
      <c r="G306" s="12">
        <v>22.198</v>
      </c>
      <c r="H306" s="12">
        <v>22.198</v>
      </c>
      <c r="I306" s="12">
        <v>22.198</v>
      </c>
      <c r="J306" s="12">
        <v>37.606499999999997</v>
      </c>
      <c r="K306" s="12">
        <v>37.606499999999997</v>
      </c>
      <c r="L306" s="12">
        <v>37.606499999999997</v>
      </c>
      <c r="M306" s="12">
        <v>37.606499999999997</v>
      </c>
      <c r="N306" s="12">
        <v>53.729300000000002</v>
      </c>
      <c r="O306" s="12">
        <v>53.729300000000002</v>
      </c>
    </row>
    <row r="307" spans="1:15" x14ac:dyDescent="0.3">
      <c r="A307" s="25" t="s">
        <v>838</v>
      </c>
      <c r="B307" s="25" t="s">
        <v>1034</v>
      </c>
      <c r="C307" s="25" t="s">
        <v>1001</v>
      </c>
      <c r="D307" s="25" t="s">
        <v>1002</v>
      </c>
      <c r="E307" s="25" t="s">
        <v>144</v>
      </c>
      <c r="F307" s="12">
        <v>3.7132000000000001</v>
      </c>
      <c r="G307" s="12">
        <v>7.4481999999999999</v>
      </c>
      <c r="H307" s="12">
        <v>11.419700000000001</v>
      </c>
      <c r="I307" s="12">
        <v>15.4085</v>
      </c>
      <c r="J307" s="12">
        <v>4.0242000000000004</v>
      </c>
      <c r="K307" s="12">
        <v>8.0660000000000007</v>
      </c>
      <c r="L307" s="12">
        <v>12.148199999999999</v>
      </c>
      <c r="M307" s="12">
        <v>16.122800000000002</v>
      </c>
      <c r="N307" s="12">
        <v>4.0347</v>
      </c>
      <c r="O307" s="12">
        <v>8.1859999999999999</v>
      </c>
    </row>
    <row r="308" spans="1:15" x14ac:dyDescent="0.3">
      <c r="A308" s="11" t="s">
        <v>838</v>
      </c>
      <c r="B308" s="11" t="s">
        <v>1035</v>
      </c>
      <c r="C308" s="11" t="s">
        <v>1036</v>
      </c>
      <c r="D308" s="11" t="s">
        <v>1037</v>
      </c>
      <c r="E308" s="11" t="s">
        <v>144</v>
      </c>
      <c r="F308" s="12">
        <v>4906.0604999999996</v>
      </c>
      <c r="G308" s="12">
        <v>4699.0610999999999</v>
      </c>
      <c r="H308" s="12">
        <v>6124.9798000000001</v>
      </c>
      <c r="I308" s="12">
        <v>6494.2972</v>
      </c>
      <c r="J308" s="12">
        <v>6649.8828999999996</v>
      </c>
      <c r="K308" s="12">
        <v>7324.3701000000001</v>
      </c>
      <c r="L308" s="12">
        <v>9218.1939999999995</v>
      </c>
      <c r="M308" s="12">
        <v>9302.1722000000009</v>
      </c>
      <c r="N308" s="12">
        <v>8696.4344999999994</v>
      </c>
      <c r="O308" s="12">
        <v>8175.0316999999995</v>
      </c>
    </row>
    <row r="309" spans="1:15" x14ac:dyDescent="0.3">
      <c r="A309" s="25" t="s">
        <v>838</v>
      </c>
      <c r="B309" s="25" t="s">
        <v>1038</v>
      </c>
      <c r="C309" s="25" t="s">
        <v>1039</v>
      </c>
      <c r="D309" s="25" t="s">
        <v>1040</v>
      </c>
      <c r="E309" s="25" t="s">
        <v>144</v>
      </c>
      <c r="F309" s="12">
        <v>4906.0604999999996</v>
      </c>
      <c r="G309" s="12">
        <v>4699.0610999999999</v>
      </c>
      <c r="H309" s="12">
        <v>6124.9798000000001</v>
      </c>
      <c r="I309" s="12">
        <v>6494.2972</v>
      </c>
      <c r="J309" s="12">
        <v>6649.8828999999996</v>
      </c>
      <c r="K309" s="12">
        <v>7324.3701000000001</v>
      </c>
      <c r="L309" s="12">
        <v>9218.1939999999995</v>
      </c>
      <c r="M309" s="12">
        <v>9302.1722000000009</v>
      </c>
      <c r="N309" s="12">
        <v>8696.4344999999994</v>
      </c>
      <c r="O309" s="12">
        <v>8175.0316999999995</v>
      </c>
    </row>
    <row r="310" spans="1:15" x14ac:dyDescent="0.3">
      <c r="A310" s="11" t="s">
        <v>838</v>
      </c>
      <c r="B310" s="11" t="s">
        <v>1041</v>
      </c>
      <c r="C310" s="11" t="s">
        <v>1042</v>
      </c>
      <c r="D310" s="11" t="s">
        <v>1043</v>
      </c>
      <c r="E310" s="11" t="s">
        <v>144</v>
      </c>
      <c r="F310" s="12">
        <v>6.3394000000000004</v>
      </c>
      <c r="G310" s="12">
        <v>6.7888000000000002</v>
      </c>
      <c r="H310" s="12">
        <v>4.6974</v>
      </c>
      <c r="I310" s="12">
        <v>7.1360999999999999</v>
      </c>
      <c r="J310" s="12">
        <v>9.9564000000000004</v>
      </c>
      <c r="K310" s="12">
        <v>13.0205</v>
      </c>
      <c r="L310" s="12">
        <v>25.744399999999999</v>
      </c>
      <c r="M310" s="12">
        <v>21.7774</v>
      </c>
      <c r="N310" s="12">
        <v>26.035799999999998</v>
      </c>
      <c r="O310" s="12">
        <v>15.7963</v>
      </c>
    </row>
    <row r="311" spans="1:15" x14ac:dyDescent="0.3">
      <c r="A311" s="25" t="s">
        <v>838</v>
      </c>
      <c r="B311" s="25" t="s">
        <v>1044</v>
      </c>
      <c r="C311" s="25" t="s">
        <v>1045</v>
      </c>
      <c r="D311" s="25" t="s">
        <v>1046</v>
      </c>
      <c r="E311" s="25" t="s">
        <v>144</v>
      </c>
      <c r="F311" s="12">
        <v>5.5289000000000001</v>
      </c>
      <c r="G311" s="12">
        <v>5.8897000000000004</v>
      </c>
      <c r="H311" s="12">
        <v>3.8029000000000002</v>
      </c>
      <c r="I311" s="12">
        <v>5.9340000000000002</v>
      </c>
      <c r="J311" s="12">
        <v>8.6549999999999994</v>
      </c>
      <c r="K311" s="12">
        <v>8.8126999999999995</v>
      </c>
      <c r="L311" s="12">
        <v>17.5991</v>
      </c>
      <c r="M311" s="12">
        <v>13.7302</v>
      </c>
      <c r="N311" s="12">
        <v>16.135400000000001</v>
      </c>
      <c r="O311" s="12">
        <v>10.4442</v>
      </c>
    </row>
    <row r="312" spans="1:15" x14ac:dyDescent="0.3">
      <c r="A312" s="25" t="s">
        <v>838</v>
      </c>
      <c r="B312" s="25" t="s">
        <v>1047</v>
      </c>
      <c r="C312" s="25" t="s">
        <v>1048</v>
      </c>
      <c r="D312" s="25" t="s">
        <v>1049</v>
      </c>
      <c r="E312" s="25" t="s">
        <v>144</v>
      </c>
      <c r="F312" s="12">
        <v>0.8105</v>
      </c>
      <c r="G312" s="12">
        <v>0.89910000000000001</v>
      </c>
      <c r="H312" s="12">
        <v>0.89449999999999996</v>
      </c>
      <c r="I312" s="12">
        <v>1.2020999999999999</v>
      </c>
      <c r="J312" s="12">
        <v>1.3013999999999999</v>
      </c>
      <c r="K312" s="12">
        <v>4.2077999999999998</v>
      </c>
      <c r="L312" s="12">
        <v>8.1453000000000007</v>
      </c>
      <c r="M312" s="12">
        <v>8.0472000000000001</v>
      </c>
      <c r="N312" s="12">
        <v>9.9003999999999994</v>
      </c>
      <c r="O312" s="12">
        <v>5.3521000000000001</v>
      </c>
    </row>
    <row r="313" spans="1:15" x14ac:dyDescent="0.3">
      <c r="A313" s="11" t="s">
        <v>838</v>
      </c>
      <c r="B313" s="11" t="s">
        <v>1050</v>
      </c>
      <c r="C313" s="11" t="s">
        <v>1051</v>
      </c>
      <c r="D313" s="11" t="s">
        <v>1052</v>
      </c>
      <c r="E313" s="11" t="s">
        <v>144</v>
      </c>
      <c r="F313" s="12">
        <v>0.42659999999999998</v>
      </c>
      <c r="G313" s="12">
        <v>1.0952999999999999</v>
      </c>
      <c r="H313" s="12">
        <v>1.7683</v>
      </c>
      <c r="I313" s="12">
        <v>4.8262999999999998</v>
      </c>
      <c r="J313" s="12">
        <v>0.51619999999999999</v>
      </c>
      <c r="K313" s="12">
        <v>1.5582</v>
      </c>
      <c r="L313" s="12">
        <v>0.93630000000000002</v>
      </c>
      <c r="M313" s="12">
        <v>0.69189999999999996</v>
      </c>
      <c r="N313" s="12">
        <v>0.77149999999999996</v>
      </c>
      <c r="O313" s="12">
        <v>0.6653</v>
      </c>
    </row>
    <row r="314" spans="1:15" x14ac:dyDescent="0.3">
      <c r="A314" s="25" t="s">
        <v>838</v>
      </c>
      <c r="B314" s="25" t="s">
        <v>1053</v>
      </c>
      <c r="C314" s="25" t="s">
        <v>1054</v>
      </c>
      <c r="D314" s="25" t="s">
        <v>510</v>
      </c>
      <c r="E314" s="25" t="s">
        <v>144</v>
      </c>
      <c r="F314" s="12">
        <v>0.42659999999999998</v>
      </c>
      <c r="G314" s="12">
        <v>1.0952999999999999</v>
      </c>
      <c r="H314" s="12">
        <v>1.7683</v>
      </c>
      <c r="I314" s="12">
        <v>4.8262999999999998</v>
      </c>
      <c r="J314" s="12">
        <v>0.51619999999999999</v>
      </c>
      <c r="K314" s="12">
        <v>1.5582</v>
      </c>
      <c r="L314" s="12">
        <v>0.93630000000000002</v>
      </c>
      <c r="M314" s="12">
        <v>0.69189999999999996</v>
      </c>
      <c r="N314" s="12">
        <v>0.77149999999999996</v>
      </c>
      <c r="O314" s="12">
        <v>0.6653</v>
      </c>
    </row>
    <row r="315" spans="1:15" x14ac:dyDescent="0.3">
      <c r="A315" s="11" t="s">
        <v>838</v>
      </c>
      <c r="B315" s="11" t="s">
        <v>1055</v>
      </c>
      <c r="C315" s="11" t="s">
        <v>1056</v>
      </c>
      <c r="D315" s="11" t="s">
        <v>1057</v>
      </c>
      <c r="E315" s="11" t="s">
        <v>144</v>
      </c>
      <c r="F315" s="12">
        <v>28.110499999999998</v>
      </c>
      <c r="G315" s="12">
        <v>41.982500000000002</v>
      </c>
      <c r="H315" s="12">
        <v>21.351800000000001</v>
      </c>
      <c r="I315" s="12">
        <v>25.6525</v>
      </c>
      <c r="J315" s="12">
        <v>31.500699999999998</v>
      </c>
      <c r="K315" s="12">
        <v>32.5608</v>
      </c>
      <c r="L315" s="12">
        <v>60.816099999999999</v>
      </c>
      <c r="M315" s="12">
        <v>34.318399999999997</v>
      </c>
      <c r="N315" s="12">
        <v>26.466999999999999</v>
      </c>
      <c r="O315" s="12">
        <v>44.8887</v>
      </c>
    </row>
    <row r="316" spans="1:15" x14ac:dyDescent="0.3">
      <c r="A316" s="25" t="s">
        <v>838</v>
      </c>
      <c r="B316" s="25" t="s">
        <v>1058</v>
      </c>
      <c r="C316" s="25" t="s">
        <v>1059</v>
      </c>
      <c r="D316" s="25" t="s">
        <v>1060</v>
      </c>
      <c r="E316" s="25" t="s">
        <v>144</v>
      </c>
      <c r="F316" s="12">
        <v>2.1100000000000001E-2</v>
      </c>
      <c r="G316" s="12">
        <v>2.4400000000000002E-2</v>
      </c>
      <c r="H316" s="12">
        <v>6.6400000000000001E-2</v>
      </c>
      <c r="I316" s="12">
        <v>0.15790000000000001</v>
      </c>
      <c r="J316" s="12">
        <v>3.6900000000000002E-2</v>
      </c>
      <c r="K316" s="12">
        <v>0.1429</v>
      </c>
      <c r="L316" s="12">
        <v>0.2228</v>
      </c>
      <c r="M316" s="12">
        <v>0.58179999999999998</v>
      </c>
      <c r="N316" s="12">
        <v>0.13669999999999999</v>
      </c>
      <c r="O316" s="12">
        <v>0.28789999999999999</v>
      </c>
    </row>
    <row r="317" spans="1:15" x14ac:dyDescent="0.3">
      <c r="A317" s="25" t="s">
        <v>838</v>
      </c>
      <c r="B317" s="25" t="s">
        <v>1061</v>
      </c>
      <c r="C317" s="25" t="s">
        <v>1062</v>
      </c>
      <c r="D317" s="25" t="s">
        <v>1063</v>
      </c>
      <c r="E317" s="25" t="s">
        <v>144</v>
      </c>
      <c r="F317" s="12">
        <v>16.892399999999999</v>
      </c>
      <c r="G317" s="12">
        <v>9.2698999999999998</v>
      </c>
      <c r="H317" s="12">
        <v>11.098800000000001</v>
      </c>
      <c r="I317" s="12">
        <v>8.4695</v>
      </c>
      <c r="J317" s="12">
        <v>11.7256</v>
      </c>
      <c r="K317" s="12">
        <v>15.5107</v>
      </c>
      <c r="L317" s="12">
        <v>32.2151</v>
      </c>
      <c r="M317" s="12">
        <v>8.1735000000000007</v>
      </c>
      <c r="N317" s="12">
        <v>23.322299999999998</v>
      </c>
      <c r="O317" s="12">
        <v>15.3024</v>
      </c>
    </row>
    <row r="318" spans="1:15" x14ac:dyDescent="0.3">
      <c r="A318" s="25" t="s">
        <v>838</v>
      </c>
      <c r="B318" s="25" t="s">
        <v>1064</v>
      </c>
      <c r="C318" s="25" t="s">
        <v>1065</v>
      </c>
      <c r="D318" s="25" t="s">
        <v>1066</v>
      </c>
      <c r="E318" s="25" t="s">
        <v>144</v>
      </c>
      <c r="F318" s="12">
        <v>11.161300000000001</v>
      </c>
      <c r="G318" s="12">
        <v>32.540900000000001</v>
      </c>
      <c r="H318" s="12">
        <v>10.1013</v>
      </c>
      <c r="I318" s="12">
        <v>16.867899999999999</v>
      </c>
      <c r="J318" s="12">
        <v>19.713000000000001</v>
      </c>
      <c r="K318" s="12">
        <v>16.869399999999999</v>
      </c>
      <c r="L318" s="12">
        <v>28.2563</v>
      </c>
      <c r="M318" s="12">
        <v>25.4832</v>
      </c>
      <c r="N318" s="12">
        <v>2.8445999999999998</v>
      </c>
      <c r="O318" s="12">
        <v>29.095700000000001</v>
      </c>
    </row>
    <row r="319" spans="1:15" x14ac:dyDescent="0.3">
      <c r="A319" s="25" t="s">
        <v>838</v>
      </c>
      <c r="B319" s="25" t="s">
        <v>1067</v>
      </c>
      <c r="C319" s="25" t="s">
        <v>1068</v>
      </c>
      <c r="D319" s="25" t="s">
        <v>1069</v>
      </c>
      <c r="E319" s="25" t="s">
        <v>144</v>
      </c>
      <c r="F319" s="12">
        <v>3.5700000000000003E-2</v>
      </c>
      <c r="G319" s="12">
        <v>0.1472</v>
      </c>
      <c r="H319" s="12">
        <v>8.5300000000000001E-2</v>
      </c>
      <c r="I319" s="12">
        <v>0.15720000000000001</v>
      </c>
      <c r="J319" s="12">
        <v>2.52E-2</v>
      </c>
      <c r="K319" s="12">
        <v>3.78E-2</v>
      </c>
      <c r="L319" s="12">
        <v>0.12189999999999999</v>
      </c>
      <c r="M319" s="12">
        <v>7.9899999999999999E-2</v>
      </c>
      <c r="N319" s="12">
        <v>0.16339999999999999</v>
      </c>
      <c r="O319" s="12">
        <v>0.2026</v>
      </c>
    </row>
    <row r="320" spans="1:15" x14ac:dyDescent="0.3">
      <c r="A320" s="11" t="s">
        <v>838</v>
      </c>
      <c r="B320" s="11" t="s">
        <v>1070</v>
      </c>
      <c r="C320" s="11" t="s">
        <v>1071</v>
      </c>
      <c r="D320" s="11" t="s">
        <v>1072</v>
      </c>
      <c r="E320" s="11" t="s">
        <v>144</v>
      </c>
      <c r="F320" s="12">
        <v>24.054200000000002</v>
      </c>
      <c r="G320" s="12">
        <v>14.581899999999999</v>
      </c>
      <c r="H320" s="12">
        <v>31.139900000000001</v>
      </c>
      <c r="I320" s="12">
        <v>24.101600000000001</v>
      </c>
      <c r="J320" s="12">
        <v>31.746200000000002</v>
      </c>
      <c r="K320" s="12">
        <v>37.418100000000003</v>
      </c>
      <c r="L320" s="12">
        <v>39.867100000000001</v>
      </c>
      <c r="M320" s="12">
        <v>88.396600000000007</v>
      </c>
      <c r="N320" s="12">
        <v>91.012</v>
      </c>
      <c r="O320" s="12">
        <v>84.6905</v>
      </c>
    </row>
    <row r="321" spans="1:15" x14ac:dyDescent="0.3">
      <c r="A321" s="25" t="s">
        <v>838</v>
      </c>
      <c r="B321" s="25" t="s">
        <v>1073</v>
      </c>
      <c r="C321" s="25" t="s">
        <v>1074</v>
      </c>
      <c r="D321" s="25" t="s">
        <v>860</v>
      </c>
      <c r="E321" s="25" t="s">
        <v>144</v>
      </c>
      <c r="F321" s="12">
        <v>24.054200000000002</v>
      </c>
      <c r="G321" s="12">
        <v>14.581899999999999</v>
      </c>
      <c r="H321" s="12">
        <v>31.139900000000001</v>
      </c>
      <c r="I321" s="12">
        <v>24.101600000000001</v>
      </c>
      <c r="J321" s="12">
        <v>31.746200000000002</v>
      </c>
      <c r="K321" s="12">
        <v>37.418100000000003</v>
      </c>
      <c r="L321" s="12">
        <v>39.867100000000001</v>
      </c>
      <c r="M321" s="12">
        <v>88.396600000000007</v>
      </c>
      <c r="N321" s="12">
        <v>91.012</v>
      </c>
      <c r="O321" s="12">
        <v>84.6905</v>
      </c>
    </row>
    <row r="322" spans="1:15" x14ac:dyDescent="0.3">
      <c r="A322" s="11" t="s">
        <v>838</v>
      </c>
      <c r="B322" s="11" t="s">
        <v>1075</v>
      </c>
      <c r="C322" s="11" t="s">
        <v>1076</v>
      </c>
      <c r="D322" s="11" t="s">
        <v>1077</v>
      </c>
      <c r="E322" s="11" t="s">
        <v>144</v>
      </c>
      <c r="F322" s="12">
        <v>0</v>
      </c>
      <c r="G322" s="12">
        <v>0</v>
      </c>
      <c r="H322" s="12">
        <v>0</v>
      </c>
      <c r="I322" s="12">
        <v>0</v>
      </c>
      <c r="J322" s="12">
        <v>0</v>
      </c>
      <c r="K322" s="12">
        <v>0</v>
      </c>
      <c r="L322" s="12">
        <v>0</v>
      </c>
      <c r="M322" s="12">
        <v>0</v>
      </c>
      <c r="N322" s="12">
        <v>0</v>
      </c>
      <c r="O322" s="12">
        <v>285.12200000000001</v>
      </c>
    </row>
    <row r="323" spans="1:15" x14ac:dyDescent="0.3">
      <c r="A323" s="25" t="s">
        <v>838</v>
      </c>
      <c r="B323" s="25" t="s">
        <v>1078</v>
      </c>
      <c r="C323" s="25" t="s">
        <v>1079</v>
      </c>
      <c r="D323" s="25" t="s">
        <v>1080</v>
      </c>
      <c r="E323" s="25" t="s">
        <v>144</v>
      </c>
      <c r="F323" s="12">
        <v>0</v>
      </c>
      <c r="G323" s="12">
        <v>0</v>
      </c>
      <c r="H323" s="12">
        <v>0</v>
      </c>
      <c r="I323" s="12">
        <v>0</v>
      </c>
      <c r="J323" s="12">
        <v>0</v>
      </c>
      <c r="K323" s="12">
        <v>0</v>
      </c>
      <c r="L323" s="12">
        <v>0</v>
      </c>
      <c r="M323" s="12">
        <v>0</v>
      </c>
      <c r="N323" s="12">
        <v>0</v>
      </c>
      <c r="O323" s="12">
        <v>275.2473</v>
      </c>
    </row>
    <row r="324" spans="1:15" x14ac:dyDescent="0.3">
      <c r="A324" s="25" t="s">
        <v>838</v>
      </c>
      <c r="B324" s="25" t="s">
        <v>1081</v>
      </c>
      <c r="C324" s="25" t="s">
        <v>1082</v>
      </c>
      <c r="D324" s="25" t="s">
        <v>1083</v>
      </c>
      <c r="E324" s="25" t="s">
        <v>144</v>
      </c>
      <c r="F324" s="12">
        <v>0</v>
      </c>
      <c r="G324" s="12">
        <v>0</v>
      </c>
      <c r="H324" s="12">
        <v>0</v>
      </c>
      <c r="I324" s="12">
        <v>0</v>
      </c>
      <c r="J324" s="12">
        <v>0</v>
      </c>
      <c r="K324" s="12">
        <v>0</v>
      </c>
      <c r="L324" s="12">
        <v>0</v>
      </c>
      <c r="M324" s="12">
        <v>0</v>
      </c>
      <c r="N324" s="12">
        <v>0</v>
      </c>
      <c r="O324" s="12">
        <v>9.8747000000000007</v>
      </c>
    </row>
    <row r="325" spans="1:15" x14ac:dyDescent="0.3">
      <c r="A325" s="11" t="s">
        <v>838</v>
      </c>
      <c r="B325" s="11" t="s">
        <v>1084</v>
      </c>
      <c r="C325" s="11" t="s">
        <v>1085</v>
      </c>
      <c r="D325" s="11" t="s">
        <v>1086</v>
      </c>
      <c r="E325" s="11" t="s">
        <v>144</v>
      </c>
      <c r="F325" s="12">
        <v>14.2033</v>
      </c>
      <c r="G325" s="12">
        <v>10.697900000000001</v>
      </c>
      <c r="H325" s="12">
        <v>7.6647999999999996</v>
      </c>
      <c r="I325" s="12">
        <v>5.7836999999999996</v>
      </c>
      <c r="J325" s="12">
        <v>0</v>
      </c>
      <c r="K325" s="12">
        <v>0</v>
      </c>
      <c r="L325" s="12">
        <v>0</v>
      </c>
      <c r="M325" s="12">
        <v>27.3155</v>
      </c>
      <c r="N325" s="12">
        <v>0</v>
      </c>
      <c r="O325" s="12">
        <v>0</v>
      </c>
    </row>
    <row r="326" spans="1:15" x14ac:dyDescent="0.3">
      <c r="A326" s="25" t="s">
        <v>838</v>
      </c>
      <c r="B326" s="25" t="s">
        <v>1087</v>
      </c>
      <c r="C326" s="25" t="s">
        <v>896</v>
      </c>
      <c r="D326" s="25" t="s">
        <v>1088</v>
      </c>
      <c r="E326" s="25" t="s">
        <v>144</v>
      </c>
      <c r="F326" s="12">
        <v>2.3872</v>
      </c>
      <c r="G326" s="12">
        <v>-1.4638</v>
      </c>
      <c r="H326" s="12">
        <v>0.29549999999999998</v>
      </c>
      <c r="I326" s="12">
        <v>8.6999999999999994E-3</v>
      </c>
      <c r="J326" s="12">
        <v>0</v>
      </c>
      <c r="K326" s="12">
        <v>0</v>
      </c>
      <c r="L326" s="12">
        <v>0</v>
      </c>
      <c r="M326" s="12">
        <v>1.548</v>
      </c>
      <c r="N326" s="12">
        <v>0</v>
      </c>
      <c r="O326" s="12">
        <v>0</v>
      </c>
    </row>
    <row r="327" spans="1:15" x14ac:dyDescent="0.3">
      <c r="A327" s="25" t="s">
        <v>838</v>
      </c>
      <c r="B327" s="25" t="s">
        <v>1089</v>
      </c>
      <c r="C327" s="25" t="s">
        <v>914</v>
      </c>
      <c r="D327" s="25" t="s">
        <v>915</v>
      </c>
      <c r="E327" s="25" t="s">
        <v>144</v>
      </c>
      <c r="F327" s="12">
        <v>9.2822999999999993</v>
      </c>
      <c r="G327" s="12">
        <v>-9.2822999999999993</v>
      </c>
      <c r="H327" s="12">
        <v>0</v>
      </c>
      <c r="I327" s="12">
        <v>0</v>
      </c>
      <c r="J327" s="12">
        <v>0</v>
      </c>
      <c r="K327" s="12">
        <v>0</v>
      </c>
      <c r="L327" s="12">
        <v>0</v>
      </c>
      <c r="M327" s="12">
        <v>0</v>
      </c>
      <c r="N327" s="12">
        <v>0</v>
      </c>
      <c r="O327" s="12">
        <v>0</v>
      </c>
    </row>
    <row r="328" spans="1:15" x14ac:dyDescent="0.3">
      <c r="A328" s="25" t="s">
        <v>838</v>
      </c>
      <c r="B328" s="25" t="s">
        <v>1090</v>
      </c>
      <c r="C328" s="25" t="s">
        <v>899</v>
      </c>
      <c r="D328" s="25" t="s">
        <v>900</v>
      </c>
      <c r="E328" s="25" t="s">
        <v>144</v>
      </c>
      <c r="F328" s="12">
        <v>0</v>
      </c>
      <c r="G328" s="12">
        <v>0</v>
      </c>
      <c r="H328" s="12">
        <v>0</v>
      </c>
      <c r="I328" s="12">
        <v>0</v>
      </c>
      <c r="J328" s="12">
        <v>0</v>
      </c>
      <c r="K328" s="12">
        <v>0</v>
      </c>
      <c r="L328" s="12">
        <v>0</v>
      </c>
      <c r="M328" s="12">
        <v>0.72419999999999995</v>
      </c>
      <c r="N328" s="12">
        <v>0</v>
      </c>
      <c r="O328" s="12">
        <v>0</v>
      </c>
    </row>
    <row r="329" spans="1:15" x14ac:dyDescent="0.3">
      <c r="A329" s="25" t="s">
        <v>838</v>
      </c>
      <c r="B329" s="25" t="s">
        <v>1091</v>
      </c>
      <c r="C329" s="25" t="s">
        <v>902</v>
      </c>
      <c r="D329" s="25" t="s">
        <v>903</v>
      </c>
      <c r="E329" s="25" t="s">
        <v>144</v>
      </c>
      <c r="F329" s="12">
        <v>2.5337999999999998</v>
      </c>
      <c r="G329" s="12">
        <v>-1.3288</v>
      </c>
      <c r="H329" s="12">
        <v>4.9805999999999999</v>
      </c>
      <c r="I329" s="12">
        <v>2.9727999999999999</v>
      </c>
      <c r="J329" s="12">
        <v>0</v>
      </c>
      <c r="K329" s="12">
        <v>0</v>
      </c>
      <c r="L329" s="12">
        <v>0</v>
      </c>
      <c r="M329" s="12">
        <v>20.289899999999999</v>
      </c>
      <c r="N329" s="12">
        <v>0</v>
      </c>
      <c r="O329" s="12">
        <v>0</v>
      </c>
    </row>
    <row r="330" spans="1:15" x14ac:dyDescent="0.3">
      <c r="A330" s="25" t="s">
        <v>838</v>
      </c>
      <c r="B330" s="25" t="s">
        <v>1092</v>
      </c>
      <c r="C330" s="25" t="s">
        <v>908</v>
      </c>
      <c r="D330" s="25" t="s">
        <v>909</v>
      </c>
      <c r="E330" s="25" t="s">
        <v>144</v>
      </c>
      <c r="F330" s="12">
        <v>0</v>
      </c>
      <c r="G330" s="12">
        <v>22.7728</v>
      </c>
      <c r="H330" s="12">
        <v>2.3887</v>
      </c>
      <c r="I330" s="12">
        <v>2.8022</v>
      </c>
      <c r="J330" s="12">
        <v>0</v>
      </c>
      <c r="K330" s="12">
        <v>0</v>
      </c>
      <c r="L330" s="12">
        <v>0</v>
      </c>
      <c r="M330" s="12">
        <v>4.7521000000000004</v>
      </c>
      <c r="N330" s="12">
        <v>0</v>
      </c>
      <c r="O330" s="12">
        <v>0</v>
      </c>
    </row>
    <row r="331" spans="1:15" x14ac:dyDescent="0.3">
      <c r="A331" s="25" t="s">
        <v>838</v>
      </c>
      <c r="B331" s="25" t="s">
        <v>1093</v>
      </c>
      <c r="C331" s="25" t="s">
        <v>1094</v>
      </c>
      <c r="D331" s="25" t="s">
        <v>1095</v>
      </c>
      <c r="E331" s="25" t="s">
        <v>144</v>
      </c>
      <c r="F331" s="12">
        <v>0</v>
      </c>
      <c r="G331" s="12">
        <v>0</v>
      </c>
      <c r="H331" s="12">
        <v>0</v>
      </c>
      <c r="I331" s="12">
        <v>0</v>
      </c>
      <c r="J331" s="12">
        <v>0</v>
      </c>
      <c r="K331" s="12">
        <v>0</v>
      </c>
      <c r="L331" s="12">
        <v>0</v>
      </c>
      <c r="M331" s="12">
        <v>1.2999999999999999E-3</v>
      </c>
      <c r="N331" s="12">
        <v>0</v>
      </c>
      <c r="O331" s="12">
        <v>0</v>
      </c>
    </row>
    <row r="332" spans="1:15" x14ac:dyDescent="0.3">
      <c r="A332" s="11" t="s">
        <v>838</v>
      </c>
      <c r="B332" s="11" t="s">
        <v>1096</v>
      </c>
      <c r="C332" s="11" t="s">
        <v>1097</v>
      </c>
      <c r="D332" s="11" t="s">
        <v>1098</v>
      </c>
      <c r="E332" s="11" t="s">
        <v>144</v>
      </c>
      <c r="F332" s="12">
        <v>129.3254</v>
      </c>
      <c r="G332" s="12">
        <v>141.1842</v>
      </c>
      <c r="H332" s="12">
        <v>150.1541</v>
      </c>
      <c r="I332" s="12">
        <v>184.19220000000001</v>
      </c>
      <c r="J332" s="12">
        <v>180.5917</v>
      </c>
      <c r="K332" s="12">
        <v>182.9228</v>
      </c>
      <c r="L332" s="12">
        <v>260.43009999999998</v>
      </c>
      <c r="M332" s="12">
        <v>271.86340000000001</v>
      </c>
      <c r="N332" s="12">
        <v>255.11660000000001</v>
      </c>
      <c r="O332" s="12">
        <v>322.28109999999998</v>
      </c>
    </row>
    <row r="333" spans="1:15" x14ac:dyDescent="0.3">
      <c r="A333" s="25" t="s">
        <v>838</v>
      </c>
      <c r="B333" s="25" t="s">
        <v>1099</v>
      </c>
      <c r="C333" s="25" t="s">
        <v>1100</v>
      </c>
      <c r="D333" s="25" t="s">
        <v>1101</v>
      </c>
      <c r="E333" s="25" t="s">
        <v>144</v>
      </c>
      <c r="F333" s="12">
        <v>-1.9402999999999999</v>
      </c>
      <c r="G333" s="12">
        <v>-5.1864999999999997</v>
      </c>
      <c r="H333" s="12">
        <v>1.6465000000000001</v>
      </c>
      <c r="I333" s="12">
        <v>4.7560000000000002</v>
      </c>
      <c r="J333" s="12">
        <v>6.4641999999999999</v>
      </c>
      <c r="K333" s="12">
        <v>0.18609999999999999</v>
      </c>
      <c r="L333" s="12">
        <v>3.6509999999999998</v>
      </c>
      <c r="M333" s="12">
        <v>25.8002</v>
      </c>
      <c r="N333" s="12">
        <v>9.2460000000000004</v>
      </c>
      <c r="O333" s="12">
        <v>38.636299999999999</v>
      </c>
    </row>
    <row r="334" spans="1:15" x14ac:dyDescent="0.3">
      <c r="A334" s="25" t="s">
        <v>838</v>
      </c>
      <c r="B334" s="25" t="s">
        <v>1102</v>
      </c>
      <c r="C334" s="25" t="s">
        <v>1103</v>
      </c>
      <c r="D334" s="25" t="s">
        <v>1104</v>
      </c>
      <c r="E334" s="25" t="s">
        <v>144</v>
      </c>
      <c r="F334" s="12">
        <v>57.063299999999998</v>
      </c>
      <c r="G334" s="12">
        <v>58.792700000000004</v>
      </c>
      <c r="H334" s="12">
        <v>55.089799999999997</v>
      </c>
      <c r="I334" s="12">
        <v>74.085899999999995</v>
      </c>
      <c r="J334" s="12">
        <v>70.417199999999994</v>
      </c>
      <c r="K334" s="12">
        <v>57.673200000000001</v>
      </c>
      <c r="L334" s="12">
        <v>85.607699999999994</v>
      </c>
      <c r="M334" s="12">
        <v>90.2119</v>
      </c>
      <c r="N334" s="12">
        <v>98.395899999999997</v>
      </c>
      <c r="O334" s="12">
        <v>95.042599999999993</v>
      </c>
    </row>
    <row r="335" spans="1:15" x14ac:dyDescent="0.3">
      <c r="A335" s="25" t="s">
        <v>838</v>
      </c>
      <c r="B335" s="25" t="s">
        <v>1105</v>
      </c>
      <c r="C335" s="25" t="s">
        <v>1106</v>
      </c>
      <c r="D335" s="25" t="s">
        <v>1107</v>
      </c>
      <c r="E335" s="25" t="s">
        <v>144</v>
      </c>
      <c r="F335" s="12">
        <v>74.202399999999997</v>
      </c>
      <c r="G335" s="12">
        <v>87.578000000000003</v>
      </c>
      <c r="H335" s="12">
        <v>93.4178</v>
      </c>
      <c r="I335" s="12">
        <v>105.3503</v>
      </c>
      <c r="J335" s="12">
        <v>103.7103</v>
      </c>
      <c r="K335" s="12">
        <v>125.0635</v>
      </c>
      <c r="L335" s="12">
        <v>171.1713</v>
      </c>
      <c r="M335" s="12">
        <v>155.85140000000001</v>
      </c>
      <c r="N335" s="12">
        <v>147.47460000000001</v>
      </c>
      <c r="O335" s="12">
        <v>188.60220000000001</v>
      </c>
    </row>
    <row r="336" spans="1:15" x14ac:dyDescent="0.3">
      <c r="A336" s="11" t="s">
        <v>838</v>
      </c>
      <c r="B336" s="11" t="s">
        <v>1108</v>
      </c>
      <c r="C336" s="11" t="s">
        <v>1109</v>
      </c>
      <c r="D336" s="11" t="s">
        <v>1110</v>
      </c>
      <c r="E336" s="11" t="s">
        <v>144</v>
      </c>
      <c r="F336" s="12">
        <v>33.428100000000001</v>
      </c>
      <c r="G336" s="12">
        <v>0</v>
      </c>
      <c r="H336" s="12">
        <v>0</v>
      </c>
      <c r="I336" s="12">
        <v>41.532800000000002</v>
      </c>
      <c r="J336" s="12">
        <v>0</v>
      </c>
      <c r="K336" s="12">
        <v>0</v>
      </c>
      <c r="L336" s="12">
        <v>0</v>
      </c>
      <c r="M336" s="12">
        <v>0</v>
      </c>
      <c r="N336" s="12">
        <v>0</v>
      </c>
      <c r="O336" s="12">
        <v>0</v>
      </c>
    </row>
    <row r="337" spans="1:15" x14ac:dyDescent="0.3">
      <c r="A337" s="25" t="s">
        <v>838</v>
      </c>
      <c r="B337" s="25" t="s">
        <v>1111</v>
      </c>
      <c r="C337" s="25" t="s">
        <v>1112</v>
      </c>
      <c r="D337" s="25" t="s">
        <v>1113</v>
      </c>
      <c r="E337" s="25" t="s">
        <v>144</v>
      </c>
      <c r="F337" s="12">
        <v>32.111800000000002</v>
      </c>
      <c r="G337" s="12">
        <v>0</v>
      </c>
      <c r="H337" s="12">
        <v>0</v>
      </c>
      <c r="I337" s="12">
        <v>39.457599999999999</v>
      </c>
      <c r="J337" s="12">
        <v>0</v>
      </c>
      <c r="K337" s="12">
        <v>0</v>
      </c>
      <c r="L337" s="12">
        <v>0</v>
      </c>
      <c r="M337" s="12">
        <v>0</v>
      </c>
      <c r="N337" s="12">
        <v>0</v>
      </c>
      <c r="O337" s="12">
        <v>0</v>
      </c>
    </row>
    <row r="338" spans="1:15" x14ac:dyDescent="0.3">
      <c r="A338" s="25" t="s">
        <v>838</v>
      </c>
      <c r="B338" s="25" t="s">
        <v>1114</v>
      </c>
      <c r="C338" s="25" t="s">
        <v>1115</v>
      </c>
      <c r="D338" s="25" t="s">
        <v>1116</v>
      </c>
      <c r="E338" s="25" t="s">
        <v>144</v>
      </c>
      <c r="F338" s="12">
        <v>32.111800000000002</v>
      </c>
      <c r="G338" s="12">
        <v>0</v>
      </c>
      <c r="H338" s="12">
        <v>0</v>
      </c>
      <c r="I338" s="12">
        <v>39.457599999999999</v>
      </c>
      <c r="J338" s="12">
        <v>0</v>
      </c>
      <c r="K338" s="12">
        <v>0</v>
      </c>
      <c r="L338" s="12">
        <v>0</v>
      </c>
      <c r="M338" s="12">
        <v>0</v>
      </c>
      <c r="N338" s="12">
        <v>0</v>
      </c>
      <c r="O338" s="12">
        <v>0</v>
      </c>
    </row>
    <row r="339" spans="1:15" x14ac:dyDescent="0.3">
      <c r="A339" s="25" t="s">
        <v>838</v>
      </c>
      <c r="B339" s="25" t="s">
        <v>1117</v>
      </c>
      <c r="C339" s="25" t="s">
        <v>1118</v>
      </c>
      <c r="D339" s="25" t="s">
        <v>1119</v>
      </c>
      <c r="E339" s="25" t="s">
        <v>144</v>
      </c>
      <c r="F339" s="12">
        <v>32.111800000000002</v>
      </c>
      <c r="G339" s="12">
        <v>0</v>
      </c>
      <c r="H339" s="12">
        <v>0</v>
      </c>
      <c r="I339" s="12">
        <v>39.457599999999999</v>
      </c>
      <c r="J339" s="12">
        <v>0</v>
      </c>
      <c r="K339" s="12">
        <v>0</v>
      </c>
      <c r="L339" s="12">
        <v>0</v>
      </c>
      <c r="M339" s="12">
        <v>0</v>
      </c>
      <c r="N339" s="12">
        <v>0</v>
      </c>
      <c r="O339" s="12">
        <v>0</v>
      </c>
    </row>
    <row r="340" spans="1:15" x14ac:dyDescent="0.3">
      <c r="A340" s="25" t="s">
        <v>838</v>
      </c>
      <c r="B340" s="25" t="s">
        <v>1120</v>
      </c>
      <c r="C340" s="25" t="s">
        <v>1121</v>
      </c>
      <c r="D340" s="25" t="s">
        <v>1122</v>
      </c>
      <c r="E340" s="25" t="s">
        <v>144</v>
      </c>
      <c r="F340" s="12">
        <v>0</v>
      </c>
      <c r="G340" s="12">
        <v>0</v>
      </c>
      <c r="H340" s="12">
        <v>0</v>
      </c>
      <c r="I340" s="12">
        <v>0.68279999999999996</v>
      </c>
      <c r="J340" s="12">
        <v>0</v>
      </c>
      <c r="K340" s="12">
        <v>0</v>
      </c>
      <c r="L340" s="12">
        <v>0</v>
      </c>
      <c r="M340" s="12">
        <v>0</v>
      </c>
      <c r="N340" s="12">
        <v>0</v>
      </c>
      <c r="O340" s="12">
        <v>0</v>
      </c>
    </row>
    <row r="341" spans="1:15" x14ac:dyDescent="0.3">
      <c r="A341" s="25" t="s">
        <v>838</v>
      </c>
      <c r="B341" s="25" t="s">
        <v>1123</v>
      </c>
      <c r="C341" s="25" t="s">
        <v>236</v>
      </c>
      <c r="D341" s="25" t="s">
        <v>1124</v>
      </c>
      <c r="E341" s="25" t="s">
        <v>144</v>
      </c>
      <c r="F341" s="12">
        <v>1.3164</v>
      </c>
      <c r="G341" s="12">
        <v>0</v>
      </c>
      <c r="H341" s="12">
        <v>0</v>
      </c>
      <c r="I341" s="12">
        <v>1.3924000000000001</v>
      </c>
      <c r="J341" s="12">
        <v>0</v>
      </c>
      <c r="K341" s="12">
        <v>0</v>
      </c>
      <c r="L341" s="12">
        <v>0</v>
      </c>
      <c r="M341" s="12">
        <v>0</v>
      </c>
      <c r="N341" s="12">
        <v>0</v>
      </c>
      <c r="O341" s="12">
        <v>0</v>
      </c>
    </row>
    <row r="342" spans="1:15" x14ac:dyDescent="0.3">
      <c r="A342" s="11" t="s">
        <v>838</v>
      </c>
      <c r="B342" s="11" t="s">
        <v>1125</v>
      </c>
      <c r="C342" s="11" t="s">
        <v>1126</v>
      </c>
      <c r="D342" s="11" t="s">
        <v>1127</v>
      </c>
      <c r="E342" s="11" t="s">
        <v>144</v>
      </c>
      <c r="F342" s="12">
        <v>0.85370000000000001</v>
      </c>
      <c r="G342" s="12">
        <v>0</v>
      </c>
      <c r="H342" s="12">
        <v>0</v>
      </c>
      <c r="I342" s="12">
        <v>0.75109999999999999</v>
      </c>
      <c r="J342" s="12">
        <v>0</v>
      </c>
      <c r="K342" s="12">
        <v>0</v>
      </c>
      <c r="L342" s="12">
        <v>0</v>
      </c>
      <c r="M342" s="12">
        <v>0</v>
      </c>
      <c r="N342" s="12">
        <v>0</v>
      </c>
      <c r="O342" s="12">
        <v>0</v>
      </c>
    </row>
    <row r="343" spans="1:15" x14ac:dyDescent="0.3">
      <c r="A343" s="25" t="s">
        <v>838</v>
      </c>
      <c r="B343" s="25" t="s">
        <v>1128</v>
      </c>
      <c r="C343" s="25" t="s">
        <v>236</v>
      </c>
      <c r="D343" s="25" t="s">
        <v>1124</v>
      </c>
      <c r="E343" s="25" t="s">
        <v>144</v>
      </c>
      <c r="F343" s="12">
        <v>0.85370000000000001</v>
      </c>
      <c r="G343" s="12">
        <v>0</v>
      </c>
      <c r="H343" s="12">
        <v>0</v>
      </c>
      <c r="I343" s="12">
        <v>0.75109999999999999</v>
      </c>
      <c r="J343" s="12">
        <v>0</v>
      </c>
      <c r="K343" s="12">
        <v>0</v>
      </c>
      <c r="L343" s="12">
        <v>0</v>
      </c>
      <c r="M343" s="12">
        <v>0</v>
      </c>
      <c r="N343" s="12">
        <v>0</v>
      </c>
      <c r="O343" s="12">
        <v>0</v>
      </c>
    </row>
    <row r="344" spans="1:15" x14ac:dyDescent="0.3">
      <c r="A344" s="11" t="s">
        <v>838</v>
      </c>
      <c r="B344" s="11" t="s">
        <v>1129</v>
      </c>
      <c r="C344" s="11" t="s">
        <v>1130</v>
      </c>
      <c r="D344" s="11" t="s">
        <v>1131</v>
      </c>
      <c r="E344" s="11" t="s">
        <v>144</v>
      </c>
      <c r="F344" s="12">
        <v>53.752899999999997</v>
      </c>
      <c r="G344" s="12">
        <v>49.716299999999997</v>
      </c>
      <c r="H344" s="12">
        <v>98.902600000000007</v>
      </c>
      <c r="I344" s="12">
        <v>132.66130000000001</v>
      </c>
      <c r="J344" s="12">
        <v>67.303100000000001</v>
      </c>
      <c r="K344" s="12">
        <v>237.5934</v>
      </c>
      <c r="L344" s="12">
        <v>267.89440000000002</v>
      </c>
      <c r="M344" s="12">
        <v>279.22899999999998</v>
      </c>
      <c r="N344" s="12">
        <v>143.01740000000001</v>
      </c>
      <c r="O344" s="12">
        <v>0</v>
      </c>
    </row>
    <row r="345" spans="1:15" x14ac:dyDescent="0.3">
      <c r="A345" s="25" t="s">
        <v>838</v>
      </c>
      <c r="B345" s="25" t="s">
        <v>1132</v>
      </c>
      <c r="C345" s="25" t="s">
        <v>1133</v>
      </c>
      <c r="D345" s="25" t="s">
        <v>1134</v>
      </c>
      <c r="E345" s="25" t="s">
        <v>144</v>
      </c>
      <c r="F345" s="12">
        <v>40.9206</v>
      </c>
      <c r="G345" s="12">
        <v>47.302799999999998</v>
      </c>
      <c r="H345" s="12">
        <v>43.862200000000001</v>
      </c>
      <c r="I345" s="12">
        <v>53.619500000000002</v>
      </c>
      <c r="J345" s="12">
        <v>64.907899999999998</v>
      </c>
      <c r="K345" s="12">
        <v>86.783600000000007</v>
      </c>
      <c r="L345" s="12">
        <v>172.42590000000001</v>
      </c>
      <c r="M345" s="12">
        <v>152.3092</v>
      </c>
      <c r="N345" s="12">
        <v>140.13829999999999</v>
      </c>
      <c r="O345" s="12">
        <v>0</v>
      </c>
    </row>
    <row r="346" spans="1:15" x14ac:dyDescent="0.3">
      <c r="A346" s="25" t="s">
        <v>838</v>
      </c>
      <c r="B346" s="25" t="s">
        <v>1135</v>
      </c>
      <c r="C346" s="25" t="s">
        <v>1136</v>
      </c>
      <c r="D346" s="25" t="s">
        <v>1137</v>
      </c>
      <c r="E346" s="25" t="s">
        <v>144</v>
      </c>
      <c r="F346" s="12">
        <v>1.4999999999999999E-2</v>
      </c>
      <c r="G346" s="12">
        <v>0</v>
      </c>
      <c r="H346" s="12">
        <v>1.4999999999999999E-2</v>
      </c>
      <c r="I346" s="12">
        <v>1.52E-2</v>
      </c>
      <c r="J346" s="12">
        <v>0</v>
      </c>
      <c r="K346" s="12">
        <v>0.23769999999999999</v>
      </c>
      <c r="L346" s="12">
        <v>0.13350000000000001</v>
      </c>
      <c r="M346" s="12">
        <v>0.13150000000000001</v>
      </c>
      <c r="N346" s="12">
        <v>0</v>
      </c>
      <c r="O346" s="12">
        <v>0</v>
      </c>
    </row>
    <row r="347" spans="1:15" x14ac:dyDescent="0.3">
      <c r="A347" s="25" t="s">
        <v>838</v>
      </c>
      <c r="B347" s="25" t="s">
        <v>1138</v>
      </c>
      <c r="C347" s="25" t="s">
        <v>1139</v>
      </c>
      <c r="D347" s="25" t="s">
        <v>1140</v>
      </c>
      <c r="E347" s="25" t="s">
        <v>144</v>
      </c>
      <c r="F347" s="12">
        <v>10.525700000000001</v>
      </c>
      <c r="G347" s="12">
        <v>0</v>
      </c>
      <c r="H347" s="12">
        <v>52.6464</v>
      </c>
      <c r="I347" s="12">
        <v>76.037499999999994</v>
      </c>
      <c r="J347" s="12">
        <v>0</v>
      </c>
      <c r="K347" s="12">
        <v>148.01249999999999</v>
      </c>
      <c r="L347" s="12">
        <v>92.707999999999998</v>
      </c>
      <c r="M347" s="12">
        <v>122.26779999999999</v>
      </c>
      <c r="N347" s="12">
        <v>0</v>
      </c>
      <c r="O347" s="12">
        <v>0</v>
      </c>
    </row>
    <row r="348" spans="1:15" x14ac:dyDescent="0.3">
      <c r="A348" s="25" t="s">
        <v>838</v>
      </c>
      <c r="B348" s="25" t="s">
        <v>1141</v>
      </c>
      <c r="C348" s="25" t="s">
        <v>1142</v>
      </c>
      <c r="D348" s="25" t="s">
        <v>1143</v>
      </c>
      <c r="E348" s="25" t="s">
        <v>144</v>
      </c>
      <c r="F348" s="12">
        <v>0.75639999999999996</v>
      </c>
      <c r="G348" s="12">
        <v>0.66410000000000002</v>
      </c>
      <c r="H348" s="12">
        <v>0.53869999999999996</v>
      </c>
      <c r="I348" s="12">
        <v>0.51880000000000004</v>
      </c>
      <c r="J348" s="12">
        <v>0.35199999999999998</v>
      </c>
      <c r="K348" s="12">
        <v>0.55359999999999998</v>
      </c>
      <c r="L348" s="12">
        <v>0.70189999999999997</v>
      </c>
      <c r="M348" s="12">
        <v>1.3869</v>
      </c>
      <c r="N348" s="12">
        <v>1.0674999999999999</v>
      </c>
      <c r="O348" s="12">
        <v>0</v>
      </c>
    </row>
    <row r="349" spans="1:15" x14ac:dyDescent="0.3">
      <c r="A349" s="25" t="s">
        <v>838</v>
      </c>
      <c r="B349" s="25" t="s">
        <v>1144</v>
      </c>
      <c r="C349" s="25" t="s">
        <v>1145</v>
      </c>
      <c r="D349" s="25" t="s">
        <v>1146</v>
      </c>
      <c r="E349" s="25" t="s">
        <v>144</v>
      </c>
      <c r="F349" s="12">
        <v>1.5353000000000001</v>
      </c>
      <c r="G349" s="12">
        <v>1.7494000000000001</v>
      </c>
      <c r="H349" s="12">
        <v>1.8403</v>
      </c>
      <c r="I349" s="12">
        <v>2.4702999999999999</v>
      </c>
      <c r="J349" s="12">
        <v>2.0430999999999999</v>
      </c>
      <c r="K349" s="12">
        <v>2.0059999999999998</v>
      </c>
      <c r="L349" s="12">
        <v>1.9251</v>
      </c>
      <c r="M349" s="12">
        <v>3.1335999999999999</v>
      </c>
      <c r="N349" s="12">
        <v>1.8117000000000001</v>
      </c>
      <c r="O349" s="12">
        <v>0</v>
      </c>
    </row>
    <row r="350" spans="1:15" x14ac:dyDescent="0.3">
      <c r="A350" s="25" t="s">
        <v>838</v>
      </c>
      <c r="B350" s="25" t="s">
        <v>1147</v>
      </c>
      <c r="C350" s="25" t="s">
        <v>1148</v>
      </c>
      <c r="D350" s="25" t="s">
        <v>276</v>
      </c>
      <c r="E350" s="25" t="s">
        <v>144</v>
      </c>
      <c r="F350" s="12">
        <v>1.5353000000000001</v>
      </c>
      <c r="G350" s="12">
        <v>1.7494000000000001</v>
      </c>
      <c r="H350" s="12">
        <v>1.8403</v>
      </c>
      <c r="I350" s="12">
        <v>2.4702999999999999</v>
      </c>
      <c r="J350" s="12">
        <v>2.0430999999999999</v>
      </c>
      <c r="K350" s="12">
        <v>2.0059999999999998</v>
      </c>
      <c r="L350" s="12">
        <v>1.9251</v>
      </c>
      <c r="M350" s="12">
        <v>3.1335999999999999</v>
      </c>
      <c r="N350" s="12">
        <v>1.8117000000000001</v>
      </c>
      <c r="O350" s="12">
        <v>0</v>
      </c>
    </row>
    <row r="351" spans="1:15" x14ac:dyDescent="0.3">
      <c r="A351" s="11" t="s">
        <v>838</v>
      </c>
      <c r="B351" s="11" t="s">
        <v>1149</v>
      </c>
      <c r="C351" s="11" t="s">
        <v>1150</v>
      </c>
      <c r="D351" s="11" t="s">
        <v>306</v>
      </c>
      <c r="E351" s="11" t="s">
        <v>144</v>
      </c>
      <c r="F351" s="12">
        <v>36.220500000000001</v>
      </c>
      <c r="G351" s="12">
        <v>35.669600000000003</v>
      </c>
      <c r="H351" s="12">
        <v>31.7117</v>
      </c>
      <c r="I351" s="12">
        <v>48.307699999999997</v>
      </c>
      <c r="J351" s="12">
        <v>33.3626</v>
      </c>
      <c r="K351" s="12">
        <v>45.343400000000003</v>
      </c>
      <c r="L351" s="12">
        <v>39.587200000000003</v>
      </c>
      <c r="M351" s="12">
        <v>63.110999999999997</v>
      </c>
      <c r="N351" s="12">
        <v>46.085799999999999</v>
      </c>
      <c r="O351" s="12">
        <v>49.345599999999997</v>
      </c>
    </row>
    <row r="352" spans="1:15" x14ac:dyDescent="0.3">
      <c r="A352" s="25" t="s">
        <v>838</v>
      </c>
      <c r="B352" s="25" t="s">
        <v>1151</v>
      </c>
      <c r="C352" s="25" t="s">
        <v>1152</v>
      </c>
      <c r="D352" s="25" t="s">
        <v>1153</v>
      </c>
      <c r="E352" s="25" t="s">
        <v>144</v>
      </c>
      <c r="F352" s="12">
        <v>17.403400000000001</v>
      </c>
      <c r="G352" s="12">
        <v>17.0916</v>
      </c>
      <c r="H352" s="12">
        <v>17.389600000000002</v>
      </c>
      <c r="I352" s="12">
        <v>28.139299999999999</v>
      </c>
      <c r="J352" s="12">
        <v>18.2225</v>
      </c>
      <c r="K352" s="12">
        <v>21.803699999999999</v>
      </c>
      <c r="L352" s="12">
        <v>21.995200000000001</v>
      </c>
      <c r="M352" s="12">
        <v>37.374200000000002</v>
      </c>
      <c r="N352" s="12">
        <v>23.1906</v>
      </c>
      <c r="O352" s="12">
        <v>23.919799999999999</v>
      </c>
    </row>
    <row r="353" spans="1:15" x14ac:dyDescent="0.3">
      <c r="A353" s="25" t="s">
        <v>838</v>
      </c>
      <c r="B353" s="25" t="s">
        <v>1154</v>
      </c>
      <c r="C353" s="25" t="s">
        <v>1155</v>
      </c>
      <c r="D353" s="25" t="s">
        <v>1156</v>
      </c>
      <c r="E353" s="25" t="s">
        <v>144</v>
      </c>
      <c r="F353" s="12">
        <v>14.023400000000001</v>
      </c>
      <c r="G353" s="12">
        <v>13.767300000000001</v>
      </c>
      <c r="H353" s="12">
        <v>9.7700999999999993</v>
      </c>
      <c r="I353" s="12">
        <v>15.2692</v>
      </c>
      <c r="J353" s="12">
        <v>10.132199999999999</v>
      </c>
      <c r="K353" s="12">
        <v>19.912199999999999</v>
      </c>
      <c r="L353" s="12">
        <v>12.530099999999999</v>
      </c>
      <c r="M353" s="12">
        <v>20.114100000000001</v>
      </c>
      <c r="N353" s="12">
        <v>16.3705</v>
      </c>
      <c r="O353" s="12">
        <v>19.849399999999999</v>
      </c>
    </row>
    <row r="354" spans="1:15" x14ac:dyDescent="0.3">
      <c r="A354" s="25" t="s">
        <v>838</v>
      </c>
      <c r="B354" s="25" t="s">
        <v>1157</v>
      </c>
      <c r="C354" s="25" t="s">
        <v>1158</v>
      </c>
      <c r="D354" s="25" t="s">
        <v>1159</v>
      </c>
      <c r="E354" s="25" t="s">
        <v>144</v>
      </c>
      <c r="F354" s="12">
        <v>0</v>
      </c>
      <c r="G354" s="12">
        <v>0</v>
      </c>
      <c r="H354" s="12">
        <v>3.5466000000000002</v>
      </c>
      <c r="I354" s="12">
        <v>0</v>
      </c>
      <c r="J354" s="12">
        <v>0</v>
      </c>
      <c r="K354" s="12">
        <v>0</v>
      </c>
      <c r="L354" s="12">
        <v>0</v>
      </c>
      <c r="M354" s="12">
        <v>0</v>
      </c>
      <c r="N354" s="12">
        <v>0</v>
      </c>
      <c r="O354" s="12">
        <v>0</v>
      </c>
    </row>
    <row r="355" spans="1:15" x14ac:dyDescent="0.3">
      <c r="A355" s="25" t="s">
        <v>838</v>
      </c>
      <c r="B355" s="25" t="s">
        <v>1160</v>
      </c>
      <c r="C355" s="25" t="s">
        <v>1161</v>
      </c>
      <c r="D355" s="25" t="s">
        <v>632</v>
      </c>
      <c r="E355" s="25" t="s">
        <v>144</v>
      </c>
      <c r="F355" s="12">
        <v>0.40839999999999999</v>
      </c>
      <c r="G355" s="12">
        <v>0.4819</v>
      </c>
      <c r="H355" s="12">
        <v>0.75519999999999998</v>
      </c>
      <c r="I355" s="12">
        <v>0.80010000000000003</v>
      </c>
      <c r="J355" s="12">
        <v>0.76639999999999997</v>
      </c>
      <c r="K355" s="12">
        <v>0.78779999999999994</v>
      </c>
      <c r="L355" s="12">
        <v>0.82369999999999999</v>
      </c>
      <c r="M355" s="12">
        <v>0.82709999999999995</v>
      </c>
      <c r="N355" s="12">
        <v>0.81969999999999998</v>
      </c>
      <c r="O355" s="12">
        <v>0.83289999999999997</v>
      </c>
    </row>
    <row r="356" spans="1:15" x14ac:dyDescent="0.3">
      <c r="A356" s="25" t="s">
        <v>838</v>
      </c>
      <c r="B356" s="25" t="s">
        <v>1162</v>
      </c>
      <c r="C356" s="25" t="s">
        <v>1163</v>
      </c>
      <c r="D356" s="25" t="s">
        <v>1164</v>
      </c>
      <c r="E356" s="25" t="s">
        <v>144</v>
      </c>
      <c r="F356" s="12">
        <v>1.1737</v>
      </c>
      <c r="G356" s="12">
        <v>1.1513</v>
      </c>
      <c r="H356" s="12">
        <v>-2.3250000000000002</v>
      </c>
      <c r="I356" s="12">
        <v>1.2741</v>
      </c>
      <c r="J356" s="12">
        <v>1.1194999999999999</v>
      </c>
      <c r="K356" s="12">
        <v>1.0378000000000001</v>
      </c>
      <c r="L356" s="12">
        <v>1.0714999999999999</v>
      </c>
      <c r="M356" s="12">
        <v>1.2713000000000001</v>
      </c>
      <c r="N356" s="12">
        <v>1.2293000000000001</v>
      </c>
      <c r="O356" s="12">
        <v>1.1283000000000001</v>
      </c>
    </row>
    <row r="357" spans="1:15" x14ac:dyDescent="0.3">
      <c r="A357" s="25" t="s">
        <v>838</v>
      </c>
      <c r="B357" s="25" t="s">
        <v>1165</v>
      </c>
      <c r="C357" s="25" t="s">
        <v>1166</v>
      </c>
      <c r="D357" s="25" t="s">
        <v>1167</v>
      </c>
      <c r="E357" s="25" t="s">
        <v>144</v>
      </c>
      <c r="F357" s="12">
        <v>0.31430000000000002</v>
      </c>
      <c r="G357" s="12">
        <v>0.55559999999999998</v>
      </c>
      <c r="H357" s="12">
        <v>0.3377</v>
      </c>
      <c r="I357" s="12">
        <v>0.38490000000000002</v>
      </c>
      <c r="J357" s="12">
        <v>0.13550000000000001</v>
      </c>
      <c r="K357" s="12">
        <v>0.23480000000000001</v>
      </c>
      <c r="L357" s="12">
        <v>0.36830000000000002</v>
      </c>
      <c r="M357" s="12">
        <v>0.5403</v>
      </c>
      <c r="N357" s="12">
        <v>0.65610000000000002</v>
      </c>
      <c r="O357" s="12">
        <v>0.32490000000000002</v>
      </c>
    </row>
    <row r="358" spans="1:15" x14ac:dyDescent="0.3">
      <c r="A358" s="25" t="s">
        <v>838</v>
      </c>
      <c r="B358" s="25" t="s">
        <v>1168</v>
      </c>
      <c r="C358" s="25" t="s">
        <v>1169</v>
      </c>
      <c r="D358" s="25" t="s">
        <v>1170</v>
      </c>
      <c r="E358" s="25" t="s">
        <v>144</v>
      </c>
      <c r="F358" s="12">
        <v>2.8974000000000002</v>
      </c>
      <c r="G358" s="12">
        <v>2.6221000000000001</v>
      </c>
      <c r="H358" s="12">
        <v>2.2374000000000001</v>
      </c>
      <c r="I358" s="12">
        <v>2.44</v>
      </c>
      <c r="J358" s="12">
        <v>2.9864999999999999</v>
      </c>
      <c r="K358" s="12">
        <v>1.5672999999999999</v>
      </c>
      <c r="L358" s="12">
        <v>2.7985000000000002</v>
      </c>
      <c r="M358" s="12">
        <v>2.9838</v>
      </c>
      <c r="N358" s="12">
        <v>3.8195999999999999</v>
      </c>
      <c r="O358" s="12">
        <v>3.2902999999999998</v>
      </c>
    </row>
    <row r="359" spans="1:15" x14ac:dyDescent="0.3">
      <c r="A359" s="11" t="s">
        <v>838</v>
      </c>
      <c r="B359" s="11" t="s">
        <v>1171</v>
      </c>
      <c r="C359" s="11" t="s">
        <v>293</v>
      </c>
      <c r="D359" s="11" t="s">
        <v>1172</v>
      </c>
      <c r="E359" s="11" t="s">
        <v>144</v>
      </c>
      <c r="F359" s="12">
        <v>0</v>
      </c>
      <c r="G359" s="12">
        <v>0</v>
      </c>
      <c r="H359" s="12">
        <v>0</v>
      </c>
      <c r="I359" s="12">
        <v>5.36</v>
      </c>
      <c r="J359" s="12">
        <v>0</v>
      </c>
      <c r="K359" s="12">
        <v>0</v>
      </c>
      <c r="L359" s="12">
        <v>0</v>
      </c>
      <c r="M359" s="12">
        <v>0</v>
      </c>
      <c r="N359" s="12">
        <v>0</v>
      </c>
      <c r="O359" s="12">
        <v>0</v>
      </c>
    </row>
    <row r="360" spans="1:15" x14ac:dyDescent="0.3">
      <c r="A360" s="25" t="s">
        <v>838</v>
      </c>
      <c r="B360" s="25" t="s">
        <v>1173</v>
      </c>
      <c r="C360" s="25" t="s">
        <v>1174</v>
      </c>
      <c r="D360" s="25" t="s">
        <v>1175</v>
      </c>
      <c r="E360" s="25" t="s">
        <v>144</v>
      </c>
      <c r="F360" s="12">
        <v>0</v>
      </c>
      <c r="G360" s="12">
        <v>0</v>
      </c>
      <c r="H360" s="12">
        <v>0</v>
      </c>
      <c r="I360" s="12">
        <v>5.36</v>
      </c>
      <c r="J360" s="12">
        <v>0</v>
      </c>
      <c r="K360" s="12">
        <v>0</v>
      </c>
      <c r="L360" s="12">
        <v>0</v>
      </c>
      <c r="M360" s="12">
        <v>0</v>
      </c>
      <c r="N360" s="12">
        <v>0</v>
      </c>
      <c r="O360" s="12">
        <v>0</v>
      </c>
    </row>
    <row r="361" spans="1:15" x14ac:dyDescent="0.3">
      <c r="A361" s="11" t="s">
        <v>838</v>
      </c>
      <c r="B361" s="11" t="s">
        <v>1176</v>
      </c>
      <c r="C361" s="11" t="s">
        <v>1177</v>
      </c>
      <c r="D361" s="11" t="s">
        <v>1178</v>
      </c>
      <c r="E361" s="11" t="s">
        <v>144</v>
      </c>
      <c r="F361" s="12">
        <v>36.220500000000001</v>
      </c>
      <c r="G361" s="12">
        <v>35.669600000000003</v>
      </c>
      <c r="H361" s="12">
        <v>31.7117</v>
      </c>
      <c r="I361" s="12">
        <v>48.307699999999997</v>
      </c>
      <c r="J361" s="12">
        <v>33.3626</v>
      </c>
      <c r="K361" s="12">
        <v>45.343400000000003</v>
      </c>
      <c r="L361" s="12">
        <v>39.587200000000003</v>
      </c>
      <c r="M361" s="12">
        <v>63.110999999999997</v>
      </c>
      <c r="N361" s="12">
        <v>46.085799999999999</v>
      </c>
      <c r="O361" s="12">
        <v>49.345599999999997</v>
      </c>
    </row>
    <row r="362" spans="1:15" x14ac:dyDescent="0.3">
      <c r="A362" s="25" t="s">
        <v>838</v>
      </c>
      <c r="B362" s="25" t="s">
        <v>1179</v>
      </c>
      <c r="C362" s="25" t="s">
        <v>1180</v>
      </c>
      <c r="D362" s="25" t="s">
        <v>1153</v>
      </c>
      <c r="E362" s="25" t="s">
        <v>144</v>
      </c>
      <c r="F362" s="12">
        <v>17.403400000000001</v>
      </c>
      <c r="G362" s="12">
        <v>17.0916</v>
      </c>
      <c r="H362" s="12">
        <v>17.389600000000002</v>
      </c>
      <c r="I362" s="12">
        <v>28.139299999999999</v>
      </c>
      <c r="J362" s="12">
        <v>18.2225</v>
      </c>
      <c r="K362" s="12">
        <v>21.803699999999999</v>
      </c>
      <c r="L362" s="12">
        <v>21.995200000000001</v>
      </c>
      <c r="M362" s="12">
        <v>37.374200000000002</v>
      </c>
      <c r="N362" s="12">
        <v>23.1906</v>
      </c>
      <c r="O362" s="12">
        <v>23.919799999999999</v>
      </c>
    </row>
    <row r="363" spans="1:15" x14ac:dyDescent="0.3">
      <c r="A363" s="25" t="s">
        <v>838</v>
      </c>
      <c r="B363" s="25" t="s">
        <v>1181</v>
      </c>
      <c r="C363" s="25" t="s">
        <v>1182</v>
      </c>
      <c r="D363" s="25" t="s">
        <v>632</v>
      </c>
      <c r="E363" s="25" t="s">
        <v>144</v>
      </c>
      <c r="F363" s="12">
        <v>0.40839999999999999</v>
      </c>
      <c r="G363" s="12">
        <v>0.4819</v>
      </c>
      <c r="H363" s="12">
        <v>0.75519999999999998</v>
      </c>
      <c r="I363" s="12">
        <v>0.80010000000000003</v>
      </c>
      <c r="J363" s="12">
        <v>0.76639999999999997</v>
      </c>
      <c r="K363" s="12">
        <v>0.78779999999999994</v>
      </c>
      <c r="L363" s="12">
        <v>0.82369999999999999</v>
      </c>
      <c r="M363" s="12">
        <v>0.82709999999999995</v>
      </c>
      <c r="N363" s="12">
        <v>0.81969999999999998</v>
      </c>
      <c r="O363" s="12">
        <v>0.83289999999999997</v>
      </c>
    </row>
    <row r="364" spans="1:15" x14ac:dyDescent="0.3">
      <c r="A364" s="25" t="s">
        <v>838</v>
      </c>
      <c r="B364" s="25" t="s">
        <v>1183</v>
      </c>
      <c r="C364" s="25" t="s">
        <v>1155</v>
      </c>
      <c r="D364" s="25" t="s">
        <v>1184</v>
      </c>
      <c r="E364" s="25" t="s">
        <v>144</v>
      </c>
      <c r="F364" s="12">
        <v>14.023400000000001</v>
      </c>
      <c r="G364" s="12">
        <v>13.767300000000001</v>
      </c>
      <c r="H364" s="12">
        <v>9.7700999999999993</v>
      </c>
      <c r="I364" s="12">
        <v>15.2692</v>
      </c>
      <c r="J364" s="12">
        <v>10.132199999999999</v>
      </c>
      <c r="K364" s="12">
        <v>19.912199999999999</v>
      </c>
      <c r="L364" s="12">
        <v>12.530099999999999</v>
      </c>
      <c r="M364" s="12">
        <v>20.114100000000001</v>
      </c>
      <c r="N364" s="12">
        <v>16.3705</v>
      </c>
      <c r="O364" s="12">
        <v>19.849399999999999</v>
      </c>
    </row>
    <row r="365" spans="1:15" x14ac:dyDescent="0.3">
      <c r="A365" s="25" t="s">
        <v>838</v>
      </c>
      <c r="B365" s="25" t="s">
        <v>1185</v>
      </c>
      <c r="C365" s="25" t="s">
        <v>1169</v>
      </c>
      <c r="D365" s="25" t="s">
        <v>1186</v>
      </c>
      <c r="E365" s="25" t="s">
        <v>144</v>
      </c>
      <c r="F365" s="12">
        <v>4.3853999999999997</v>
      </c>
      <c r="G365" s="12">
        <v>4.3289</v>
      </c>
      <c r="H365" s="12">
        <v>3.7967</v>
      </c>
      <c r="I365" s="12">
        <v>4.0991</v>
      </c>
      <c r="J365" s="12">
        <v>4.2415000000000003</v>
      </c>
      <c r="K365" s="12">
        <v>2.8397999999999999</v>
      </c>
      <c r="L365" s="12">
        <v>4.2382999999999997</v>
      </c>
      <c r="M365" s="12">
        <v>4.7954999999999997</v>
      </c>
      <c r="N365" s="12">
        <v>5.7050999999999998</v>
      </c>
      <c r="O365" s="12">
        <v>4.7435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37"/>
  <sheetViews>
    <sheetView showGridLines="0" workbookViewId="0">
      <pane xSplit="1" ySplit="4" topLeftCell="B5" activePane="bottomRight" state="frozen"/>
      <selection pane="topRight"/>
      <selection pane="bottomLeft"/>
      <selection pane="bottomRight"/>
    </sheetView>
  </sheetViews>
  <sheetFormatPr defaultRowHeight="14" x14ac:dyDescent="0.3"/>
  <cols>
    <col min="1" max="1" width="30" customWidth="1"/>
    <col min="2" max="6" width="16" customWidth="1"/>
    <col min="7" max="7" width="40" customWidth="1"/>
  </cols>
  <sheetData>
    <row r="1" spans="1:7" ht="18" x14ac:dyDescent="0.4">
      <c r="A1" s="1" t="s">
        <v>1187</v>
      </c>
    </row>
    <row r="2" spans="1:7" x14ac:dyDescent="0.3">
      <c r="A2" s="8" t="s">
        <v>1188</v>
      </c>
    </row>
    <row r="4" spans="1:7" ht="30" customHeight="1" x14ac:dyDescent="0.3">
      <c r="A4" s="9" t="s">
        <v>1189</v>
      </c>
      <c r="B4" s="10" t="s">
        <v>1190</v>
      </c>
      <c r="C4" s="10" t="s">
        <v>1191</v>
      </c>
      <c r="D4" s="10" t="s">
        <v>1192</v>
      </c>
      <c r="E4" s="10" t="s">
        <v>1193</v>
      </c>
      <c r="F4" s="10" t="s">
        <v>1194</v>
      </c>
      <c r="G4" s="10" t="s">
        <v>71</v>
      </c>
    </row>
    <row r="5" spans="1:7" ht="23" x14ac:dyDescent="0.3">
      <c r="A5" s="11" t="s">
        <v>1195</v>
      </c>
      <c r="B5" s="31">
        <v>12.61</v>
      </c>
      <c r="C5" s="31">
        <v>15.32</v>
      </c>
      <c r="D5" s="32">
        <f t="shared" ref="D5:D20" si="0">IF(OR(B5="",C5=""),"",B5-C5)</f>
        <v>-2.7100000000000009</v>
      </c>
      <c r="E5" s="31">
        <v>17.71</v>
      </c>
      <c r="F5" s="31">
        <v>33.840000000000003</v>
      </c>
      <c r="G5" s="15" t="s">
        <v>1196</v>
      </c>
    </row>
    <row r="6" spans="1:7" x14ac:dyDescent="0.3">
      <c r="A6" s="16" t="s">
        <v>1197</v>
      </c>
      <c r="B6" s="33">
        <v>11.17</v>
      </c>
      <c r="C6" s="33">
        <v>11.14</v>
      </c>
      <c r="D6" s="34">
        <f t="shared" si="0"/>
        <v>2.9999999999999361E-2</v>
      </c>
      <c r="E6" s="33">
        <v>6.58</v>
      </c>
      <c r="F6" s="33">
        <v>8.2100000000000009</v>
      </c>
      <c r="G6" s="20"/>
    </row>
    <row r="7" spans="1:7" x14ac:dyDescent="0.3">
      <c r="A7" s="11" t="s">
        <v>1198</v>
      </c>
      <c r="B7" s="31">
        <v>9.36</v>
      </c>
      <c r="C7" s="31">
        <v>8.85</v>
      </c>
      <c r="D7" s="32">
        <f t="shared" si="0"/>
        <v>0.50999999999999979</v>
      </c>
      <c r="E7" s="31">
        <v>9</v>
      </c>
      <c r="F7" s="31">
        <v>4.83</v>
      </c>
      <c r="G7" s="15" t="s">
        <v>1199</v>
      </c>
    </row>
    <row r="8" spans="1:7" x14ac:dyDescent="0.3">
      <c r="A8" s="16" t="s">
        <v>1200</v>
      </c>
      <c r="B8" s="33">
        <v>7</v>
      </c>
      <c r="C8" s="33">
        <v>7.35</v>
      </c>
      <c r="D8" s="34">
        <f t="shared" si="0"/>
        <v>-0.34999999999999964</v>
      </c>
      <c r="E8" s="33">
        <v>2.86</v>
      </c>
      <c r="F8" s="33"/>
      <c r="G8" s="20"/>
    </row>
    <row r="9" spans="1:7" x14ac:dyDescent="0.3">
      <c r="A9" s="11" t="s">
        <v>1201</v>
      </c>
      <c r="B9" s="31">
        <v>6.8</v>
      </c>
      <c r="C9" s="31">
        <v>7.3</v>
      </c>
      <c r="D9" s="32">
        <f t="shared" si="0"/>
        <v>-0.5</v>
      </c>
      <c r="E9" s="31"/>
      <c r="F9" s="31">
        <v>9.23</v>
      </c>
      <c r="G9" s="15"/>
    </row>
    <row r="10" spans="1:7" x14ac:dyDescent="0.3">
      <c r="A10" s="16" t="s">
        <v>1202</v>
      </c>
      <c r="B10" s="33">
        <v>4.79</v>
      </c>
      <c r="C10" s="33">
        <v>5.29</v>
      </c>
      <c r="D10" s="34">
        <f t="shared" si="0"/>
        <v>-0.5</v>
      </c>
      <c r="E10" s="33">
        <v>5.34</v>
      </c>
      <c r="F10" s="33">
        <v>4</v>
      </c>
      <c r="G10" s="20"/>
    </row>
    <row r="11" spans="1:7" x14ac:dyDescent="0.3">
      <c r="A11" s="11" t="s">
        <v>1203</v>
      </c>
      <c r="B11" s="31">
        <v>3.96</v>
      </c>
      <c r="C11" s="31">
        <v>4.78</v>
      </c>
      <c r="D11" s="32">
        <f t="shared" si="0"/>
        <v>-0.82000000000000028</v>
      </c>
      <c r="E11" s="31">
        <v>5.88</v>
      </c>
      <c r="F11" s="31">
        <v>4.01</v>
      </c>
      <c r="G11" s="15"/>
    </row>
    <row r="12" spans="1:7" x14ac:dyDescent="0.3">
      <c r="A12" s="16" t="s">
        <v>1204</v>
      </c>
      <c r="B12" s="33">
        <v>3.57</v>
      </c>
      <c r="C12" s="33">
        <v>2.94</v>
      </c>
      <c r="D12" s="34">
        <f t="shared" si="0"/>
        <v>0.62999999999999989</v>
      </c>
      <c r="E12" s="33">
        <v>6.71</v>
      </c>
      <c r="F12" s="33"/>
      <c r="G12" s="20" t="s">
        <v>1205</v>
      </c>
    </row>
    <row r="13" spans="1:7" x14ac:dyDescent="0.3">
      <c r="A13" s="11" t="s">
        <v>1206</v>
      </c>
      <c r="B13" s="31">
        <v>2.99</v>
      </c>
      <c r="C13" s="31">
        <v>3.21</v>
      </c>
      <c r="D13" s="32">
        <f t="shared" si="0"/>
        <v>-0.21999999999999975</v>
      </c>
      <c r="E13" s="31"/>
      <c r="F13" s="31"/>
      <c r="G13" s="15"/>
    </row>
    <row r="14" spans="1:7" x14ac:dyDescent="0.3">
      <c r="A14" s="16" t="s">
        <v>1207</v>
      </c>
      <c r="B14" s="33">
        <v>2.94</v>
      </c>
      <c r="C14" s="33"/>
      <c r="D14" s="34" t="str">
        <f t="shared" si="0"/>
        <v/>
      </c>
      <c r="E14" s="33"/>
      <c r="F14" s="33">
        <v>1.82</v>
      </c>
      <c r="G14" s="20"/>
    </row>
    <row r="15" spans="1:7" x14ac:dyDescent="0.3">
      <c r="A15" s="11" t="s">
        <v>1208</v>
      </c>
      <c r="B15" s="31"/>
      <c r="C15" s="31">
        <v>2.87</v>
      </c>
      <c r="D15" s="32" t="str">
        <f t="shared" si="0"/>
        <v/>
      </c>
      <c r="E15" s="31"/>
      <c r="F15" s="31"/>
      <c r="G15" s="15" t="s">
        <v>1209</v>
      </c>
    </row>
    <row r="16" spans="1:7" x14ac:dyDescent="0.3">
      <c r="A16" s="16" t="s">
        <v>1210</v>
      </c>
      <c r="B16" s="33"/>
      <c r="C16" s="33"/>
      <c r="D16" s="34" t="str">
        <f t="shared" si="0"/>
        <v/>
      </c>
      <c r="E16" s="33">
        <v>3.58</v>
      </c>
      <c r="F16" s="33"/>
      <c r="G16" s="20"/>
    </row>
    <row r="17" spans="1:7" ht="23" x14ac:dyDescent="0.3">
      <c r="A17" s="11" t="s">
        <v>1211</v>
      </c>
      <c r="B17" s="31"/>
      <c r="C17" s="31"/>
      <c r="D17" s="32" t="str">
        <f t="shared" si="0"/>
        <v/>
      </c>
      <c r="E17" s="31">
        <v>2.88</v>
      </c>
      <c r="F17" s="31">
        <v>25.38</v>
      </c>
      <c r="G17" s="15" t="s">
        <v>1212</v>
      </c>
    </row>
    <row r="18" spans="1:7" x14ac:dyDescent="0.3">
      <c r="A18" s="16" t="s">
        <v>1213</v>
      </c>
      <c r="B18" s="33"/>
      <c r="C18" s="33"/>
      <c r="D18" s="34" t="str">
        <f t="shared" si="0"/>
        <v/>
      </c>
      <c r="E18" s="33">
        <v>2.66</v>
      </c>
      <c r="F18" s="33"/>
      <c r="G18" s="20"/>
    </row>
    <row r="19" spans="1:7" x14ac:dyDescent="0.3">
      <c r="A19" s="11" t="s">
        <v>1214</v>
      </c>
      <c r="B19" s="31"/>
      <c r="C19" s="31"/>
      <c r="D19" s="32" t="str">
        <f t="shared" si="0"/>
        <v/>
      </c>
      <c r="E19" s="31"/>
      <c r="F19" s="31">
        <v>1.91</v>
      </c>
      <c r="G19" s="15"/>
    </row>
    <row r="20" spans="1:7" x14ac:dyDescent="0.3">
      <c r="A20" s="16" t="s">
        <v>1215</v>
      </c>
      <c r="B20" s="33"/>
      <c r="C20" s="33"/>
      <c r="D20" s="34" t="str">
        <f t="shared" si="0"/>
        <v/>
      </c>
      <c r="E20" s="33"/>
      <c r="F20" s="33">
        <v>1.29</v>
      </c>
      <c r="G20" s="20"/>
    </row>
    <row r="21" spans="1:7" ht="23" x14ac:dyDescent="0.3">
      <c r="A21" s="11" t="s">
        <v>1216</v>
      </c>
      <c r="B21" s="32">
        <f>SUM(B5:B20)</f>
        <v>65.19</v>
      </c>
      <c r="C21" s="32">
        <f>SUM(C5:C20)</f>
        <v>69.05</v>
      </c>
      <c r="D21" s="25"/>
      <c r="E21" s="32">
        <f>SUM(E5:E20)</f>
        <v>63.2</v>
      </c>
      <c r="F21" s="32">
        <f>SUM(F5:F20)</f>
        <v>94.52</v>
      </c>
      <c r="G21" s="15" t="s">
        <v>1217</v>
      </c>
    </row>
    <row r="22" spans="1:7" ht="23" x14ac:dyDescent="0.3">
      <c r="A22" s="11" t="s">
        <v>1218</v>
      </c>
      <c r="B22" s="31">
        <v>65.19</v>
      </c>
      <c r="C22" s="31">
        <v>69.05</v>
      </c>
      <c r="D22" s="25"/>
      <c r="E22" s="31">
        <v>63.2</v>
      </c>
      <c r="F22" s="31">
        <v>94.52</v>
      </c>
      <c r="G22" s="15" t="s">
        <v>1219</v>
      </c>
    </row>
    <row r="25" spans="1:7" x14ac:dyDescent="0.3">
      <c r="A25" s="5" t="s">
        <v>1220</v>
      </c>
    </row>
    <row r="26" spans="1:7" ht="30" customHeight="1" x14ac:dyDescent="0.3">
      <c r="A26" s="9" t="s">
        <v>1221</v>
      </c>
      <c r="B26" s="10" t="s">
        <v>1222</v>
      </c>
      <c r="C26" s="10" t="s">
        <v>1223</v>
      </c>
      <c r="D26" s="10"/>
      <c r="E26" s="10"/>
      <c r="F26" s="10"/>
      <c r="G26" s="10" t="s">
        <v>1224</v>
      </c>
    </row>
    <row r="27" spans="1:7" x14ac:dyDescent="0.3">
      <c r="A27" s="26" t="s">
        <v>196</v>
      </c>
      <c r="B27" s="33">
        <v>4.01</v>
      </c>
      <c r="C27" s="34"/>
      <c r="D27" s="26"/>
      <c r="E27" s="26"/>
      <c r="F27" s="26"/>
      <c r="G27" s="35" t="s">
        <v>1225</v>
      </c>
    </row>
    <row r="28" spans="1:7" x14ac:dyDescent="0.3">
      <c r="A28" s="25" t="s">
        <v>197</v>
      </c>
      <c r="B28" s="31">
        <v>5.1100000000000003</v>
      </c>
      <c r="C28" s="32">
        <f t="shared" ref="C28:C36" si="1">B28-B27</f>
        <v>1.1000000000000005</v>
      </c>
      <c r="D28" s="25"/>
      <c r="E28" s="25"/>
      <c r="F28" s="25"/>
      <c r="G28" s="36" t="s">
        <v>1225</v>
      </c>
    </row>
    <row r="29" spans="1:7" x14ac:dyDescent="0.3">
      <c r="A29" s="26" t="s">
        <v>183</v>
      </c>
      <c r="B29" s="33">
        <v>5.3</v>
      </c>
      <c r="C29" s="34">
        <f t="shared" si="1"/>
        <v>0.1899999999999995</v>
      </c>
      <c r="D29" s="26"/>
      <c r="E29" s="26"/>
      <c r="F29" s="26"/>
      <c r="G29" s="35" t="s">
        <v>1225</v>
      </c>
    </row>
    <row r="30" spans="1:7" x14ac:dyDescent="0.3">
      <c r="A30" s="25" t="s">
        <v>184</v>
      </c>
      <c r="B30" s="31">
        <v>9.98</v>
      </c>
      <c r="C30" s="32">
        <f t="shared" si="1"/>
        <v>4.6800000000000006</v>
      </c>
      <c r="D30" s="25"/>
      <c r="E30" s="25"/>
      <c r="F30" s="25"/>
      <c r="G30" s="36" t="s">
        <v>1225</v>
      </c>
    </row>
    <row r="31" spans="1:7" x14ac:dyDescent="0.3">
      <c r="A31" s="26" t="s">
        <v>185</v>
      </c>
      <c r="B31" s="33">
        <v>16.72</v>
      </c>
      <c r="C31" s="34">
        <f t="shared" si="1"/>
        <v>6.7399999999999984</v>
      </c>
      <c r="D31" s="26"/>
      <c r="E31" s="26"/>
      <c r="F31" s="26"/>
      <c r="G31" s="35" t="s">
        <v>1225</v>
      </c>
    </row>
    <row r="32" spans="1:7" x14ac:dyDescent="0.3">
      <c r="A32" s="25" t="s">
        <v>186</v>
      </c>
      <c r="B32" s="31">
        <v>17.62</v>
      </c>
      <c r="C32" s="32">
        <f t="shared" si="1"/>
        <v>0.90000000000000213</v>
      </c>
      <c r="D32" s="25"/>
      <c r="E32" s="25"/>
      <c r="F32" s="25"/>
      <c r="G32" s="36" t="s">
        <v>1225</v>
      </c>
    </row>
    <row r="33" spans="1:7" x14ac:dyDescent="0.3">
      <c r="A33" s="26" t="s">
        <v>187</v>
      </c>
      <c r="B33" s="33">
        <v>23.67</v>
      </c>
      <c r="C33" s="34">
        <f t="shared" si="1"/>
        <v>6.0500000000000007</v>
      </c>
      <c r="D33" s="26"/>
      <c r="E33" s="26"/>
      <c r="F33" s="26"/>
      <c r="G33" s="35" t="s">
        <v>1225</v>
      </c>
    </row>
    <row r="34" spans="1:7" x14ac:dyDescent="0.3">
      <c r="A34" s="25" t="s">
        <v>188</v>
      </c>
      <c r="B34" s="31">
        <v>24.26</v>
      </c>
      <c r="C34" s="32">
        <f t="shared" si="1"/>
        <v>0.58999999999999986</v>
      </c>
      <c r="D34" s="25"/>
      <c r="E34" s="25"/>
      <c r="F34" s="25"/>
      <c r="G34" s="36" t="s">
        <v>1225</v>
      </c>
    </row>
    <row r="35" spans="1:7" x14ac:dyDescent="0.3">
      <c r="A35" s="26" t="s">
        <v>67</v>
      </c>
      <c r="B35" s="33">
        <v>25.5</v>
      </c>
      <c r="C35" s="34">
        <f t="shared" si="1"/>
        <v>1.2399999999999984</v>
      </c>
      <c r="D35" s="26"/>
      <c r="E35" s="26"/>
      <c r="F35" s="26"/>
      <c r="G35" s="35" t="s">
        <v>1225</v>
      </c>
    </row>
    <row r="36" spans="1:7" x14ac:dyDescent="0.3">
      <c r="A36" s="25" t="s">
        <v>68</v>
      </c>
      <c r="B36" s="31">
        <v>25.38</v>
      </c>
      <c r="C36" s="32">
        <f t="shared" si="1"/>
        <v>-0.12000000000000099</v>
      </c>
      <c r="D36" s="25"/>
      <c r="E36" s="25"/>
      <c r="F36" s="25"/>
      <c r="G36" s="36" t="s">
        <v>1225</v>
      </c>
    </row>
    <row r="37" spans="1:7" x14ac:dyDescent="0.3">
      <c r="A37" s="36" t="s">
        <v>1226</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41"/>
  <sheetViews>
    <sheetView showGridLines="0" workbookViewId="0">
      <pane xSplit="1" ySplit="4" topLeftCell="B5" activePane="bottomRight" state="frozen"/>
      <selection pane="topRight"/>
      <selection pane="bottomLeft"/>
      <selection pane="bottomRight"/>
    </sheetView>
  </sheetViews>
  <sheetFormatPr defaultRowHeight="14" x14ac:dyDescent="0.3"/>
  <cols>
    <col min="1" max="1" width="10" customWidth="1"/>
    <col min="2" max="9" width="12" customWidth="1"/>
    <col min="10" max="10" width="10" customWidth="1"/>
    <col min="11" max="13" width="12" customWidth="1"/>
    <col min="14" max="14" width="13" customWidth="1"/>
    <col min="15" max="15" width="10" customWidth="1"/>
  </cols>
  <sheetData>
    <row r="1" spans="1:15" ht="18" x14ac:dyDescent="0.4">
      <c r="A1" s="1" t="s">
        <v>1227</v>
      </c>
    </row>
    <row r="2" spans="1:15" x14ac:dyDescent="0.3">
      <c r="A2" s="8" t="s">
        <v>1228</v>
      </c>
    </row>
    <row r="4" spans="1:15" ht="44" customHeight="1" x14ac:dyDescent="0.3">
      <c r="A4" s="9" t="s">
        <v>1221</v>
      </c>
      <c r="B4" s="10" t="s">
        <v>1229</v>
      </c>
      <c r="C4" s="10" t="s">
        <v>1230</v>
      </c>
      <c r="D4" s="10" t="s">
        <v>1231</v>
      </c>
      <c r="E4" s="10" t="s">
        <v>1232</v>
      </c>
      <c r="F4" s="10" t="s">
        <v>1233</v>
      </c>
      <c r="G4" s="10" t="s">
        <v>1234</v>
      </c>
      <c r="H4" s="10" t="s">
        <v>1235</v>
      </c>
      <c r="I4" s="10" t="s">
        <v>1236</v>
      </c>
      <c r="J4" s="10" t="s">
        <v>1237</v>
      </c>
      <c r="K4" s="10" t="s">
        <v>1238</v>
      </c>
      <c r="L4" s="10" t="s">
        <v>1239</v>
      </c>
      <c r="M4" s="10" t="s">
        <v>1240</v>
      </c>
      <c r="N4" s="10" t="s">
        <v>1241</v>
      </c>
      <c r="O4" s="10" t="s">
        <v>1242</v>
      </c>
    </row>
    <row r="5" spans="1:15" x14ac:dyDescent="0.3">
      <c r="A5" s="26" t="s">
        <v>1243</v>
      </c>
      <c r="B5" s="33"/>
      <c r="C5" s="33"/>
      <c r="D5" s="33"/>
      <c r="E5" s="33"/>
      <c r="F5" s="33">
        <v>3.42</v>
      </c>
      <c r="G5" s="33"/>
      <c r="H5" s="33">
        <v>4.21</v>
      </c>
      <c r="I5" s="33"/>
      <c r="J5" s="21"/>
      <c r="K5" s="33"/>
      <c r="L5" s="33">
        <v>8.39</v>
      </c>
      <c r="M5" s="33">
        <v>99.99</v>
      </c>
      <c r="N5" s="33">
        <v>7.4999999999999997E-2</v>
      </c>
      <c r="O5" s="21">
        <v>40</v>
      </c>
    </row>
    <row r="6" spans="1:15" x14ac:dyDescent="0.3">
      <c r="A6" s="25" t="s">
        <v>1244</v>
      </c>
      <c r="B6" s="31"/>
      <c r="C6" s="31"/>
      <c r="D6" s="31"/>
      <c r="E6" s="31"/>
      <c r="F6" s="31">
        <v>3.56</v>
      </c>
      <c r="G6" s="31"/>
      <c r="H6" s="31"/>
      <c r="I6" s="31"/>
      <c r="J6" s="23"/>
      <c r="K6" s="31"/>
      <c r="L6" s="31"/>
      <c r="M6" s="31"/>
      <c r="N6" s="31">
        <v>7.9000000000000001E-2</v>
      </c>
      <c r="O6" s="23">
        <v>42</v>
      </c>
    </row>
    <row r="7" spans="1:15" x14ac:dyDescent="0.3">
      <c r="A7" s="26" t="s">
        <v>1245</v>
      </c>
      <c r="B7" s="33"/>
      <c r="C7" s="33"/>
      <c r="D7" s="33"/>
      <c r="E7" s="33"/>
      <c r="F7" s="33">
        <v>3.39</v>
      </c>
      <c r="G7" s="33"/>
      <c r="H7" s="33">
        <v>3.48</v>
      </c>
      <c r="I7" s="33"/>
      <c r="J7" s="21"/>
      <c r="K7" s="33"/>
      <c r="L7" s="33"/>
      <c r="M7" s="33"/>
      <c r="N7" s="33">
        <v>0.06</v>
      </c>
      <c r="O7" s="21">
        <v>42</v>
      </c>
    </row>
    <row r="8" spans="1:15" x14ac:dyDescent="0.3">
      <c r="A8" s="25" t="s">
        <v>1246</v>
      </c>
      <c r="B8" s="31">
        <v>68.86</v>
      </c>
      <c r="C8" s="31">
        <v>2.8</v>
      </c>
      <c r="D8" s="31">
        <v>2.87</v>
      </c>
      <c r="E8" s="31"/>
      <c r="F8" s="31">
        <v>4.0199999999999996</v>
      </c>
      <c r="G8" s="31"/>
      <c r="H8" s="31">
        <v>4.03</v>
      </c>
      <c r="I8" s="31"/>
      <c r="J8" s="23"/>
      <c r="K8" s="31">
        <v>0.69</v>
      </c>
      <c r="L8" s="31">
        <v>21.79</v>
      </c>
      <c r="M8" s="31">
        <v>99.34</v>
      </c>
      <c r="N8" s="31">
        <v>5.3999999999999999E-2</v>
      </c>
      <c r="O8" s="23">
        <v>43</v>
      </c>
    </row>
    <row r="9" spans="1:15" x14ac:dyDescent="0.3">
      <c r="A9" s="26" t="s">
        <v>1247</v>
      </c>
      <c r="B9" s="33">
        <v>65.23</v>
      </c>
      <c r="C9" s="33">
        <v>3.11</v>
      </c>
      <c r="D9" s="33">
        <v>3.14</v>
      </c>
      <c r="E9" s="33"/>
      <c r="F9" s="33">
        <v>3.61</v>
      </c>
      <c r="G9" s="33"/>
      <c r="H9" s="33">
        <v>4.1900000000000004</v>
      </c>
      <c r="I9" s="33"/>
      <c r="J9" s="21"/>
      <c r="K9" s="33">
        <v>1.21</v>
      </c>
      <c r="L9" s="33">
        <v>37.5</v>
      </c>
      <c r="M9" s="33">
        <v>97.8</v>
      </c>
      <c r="N9" s="33">
        <v>0.09</v>
      </c>
      <c r="O9" s="21">
        <v>42</v>
      </c>
    </row>
    <row r="10" spans="1:15" x14ac:dyDescent="0.3">
      <c r="A10" s="25" t="s">
        <v>1248</v>
      </c>
      <c r="B10" s="31"/>
      <c r="C10" s="31"/>
      <c r="D10" s="31"/>
      <c r="E10" s="31"/>
      <c r="F10" s="31">
        <v>3.44</v>
      </c>
      <c r="G10" s="31"/>
      <c r="H10" s="31">
        <v>3.43</v>
      </c>
      <c r="I10" s="31"/>
      <c r="J10" s="23"/>
      <c r="K10" s="31">
        <v>0.93</v>
      </c>
      <c r="L10" s="31">
        <v>51.82</v>
      </c>
      <c r="M10" s="31">
        <v>97.95</v>
      </c>
      <c r="N10" s="31">
        <v>0.111</v>
      </c>
      <c r="O10" s="23">
        <v>41</v>
      </c>
    </row>
    <row r="11" spans="1:15" x14ac:dyDescent="0.3">
      <c r="A11" s="26" t="s">
        <v>1249</v>
      </c>
      <c r="B11" s="33"/>
      <c r="C11" s="33"/>
      <c r="D11" s="33"/>
      <c r="E11" s="33"/>
      <c r="F11" s="33">
        <v>3.75</v>
      </c>
      <c r="G11" s="33"/>
      <c r="H11" s="33">
        <v>3.32</v>
      </c>
      <c r="I11" s="33"/>
      <c r="J11" s="21"/>
      <c r="K11" s="33">
        <v>0.93</v>
      </c>
      <c r="L11" s="33">
        <v>55.92</v>
      </c>
      <c r="M11" s="33">
        <v>98.33</v>
      </c>
      <c r="N11" s="33">
        <v>9.0999999999999998E-2</v>
      </c>
      <c r="O11" s="21">
        <v>42</v>
      </c>
    </row>
    <row r="12" spans="1:15" x14ac:dyDescent="0.3">
      <c r="A12" s="25" t="s">
        <v>1250</v>
      </c>
      <c r="B12" s="31"/>
      <c r="C12" s="31"/>
      <c r="D12" s="31"/>
      <c r="E12" s="31"/>
      <c r="F12" s="31">
        <v>3.57</v>
      </c>
      <c r="G12" s="31"/>
      <c r="H12" s="31">
        <v>3.45</v>
      </c>
      <c r="I12" s="31"/>
      <c r="J12" s="23"/>
      <c r="K12" s="31">
        <v>0.89</v>
      </c>
      <c r="L12" s="31">
        <v>59.57</v>
      </c>
      <c r="M12" s="31">
        <v>97.02</v>
      </c>
      <c r="N12" s="31">
        <v>0.08</v>
      </c>
      <c r="O12" s="23">
        <v>42</v>
      </c>
    </row>
    <row r="13" spans="1:15" x14ac:dyDescent="0.3">
      <c r="A13" s="26" t="s">
        <v>1251</v>
      </c>
      <c r="B13" s="33"/>
      <c r="C13" s="33"/>
      <c r="D13" s="33"/>
      <c r="E13" s="33"/>
      <c r="F13" s="33">
        <v>3.36</v>
      </c>
      <c r="G13" s="33"/>
      <c r="H13" s="33">
        <v>3.02</v>
      </c>
      <c r="I13" s="33"/>
      <c r="J13" s="21"/>
      <c r="K13" s="33">
        <v>1.1399999999999999</v>
      </c>
      <c r="L13" s="33">
        <v>55.4</v>
      </c>
      <c r="M13" s="33">
        <v>94.93</v>
      </c>
      <c r="N13" s="33">
        <v>0.10199999999999999</v>
      </c>
      <c r="O13" s="21">
        <v>42</v>
      </c>
    </row>
    <row r="14" spans="1:15" x14ac:dyDescent="0.3">
      <c r="A14" s="25" t="s">
        <v>1252</v>
      </c>
      <c r="B14" s="31"/>
      <c r="C14" s="31"/>
      <c r="D14" s="31"/>
      <c r="E14" s="31"/>
      <c r="F14" s="31">
        <v>3.79</v>
      </c>
      <c r="G14" s="31"/>
      <c r="H14" s="31">
        <v>4.1100000000000003</v>
      </c>
      <c r="I14" s="31"/>
      <c r="J14" s="23"/>
      <c r="K14" s="31">
        <v>1.35</v>
      </c>
      <c r="L14" s="31">
        <v>51.18</v>
      </c>
      <c r="M14" s="31">
        <v>95.4</v>
      </c>
      <c r="N14" s="31">
        <v>0.15</v>
      </c>
      <c r="O14" s="23">
        <v>42</v>
      </c>
    </row>
    <row r="15" spans="1:15" x14ac:dyDescent="0.3">
      <c r="A15" s="26" t="s">
        <v>1253</v>
      </c>
      <c r="B15" s="33"/>
      <c r="C15" s="33"/>
      <c r="D15" s="33"/>
      <c r="E15" s="33"/>
      <c r="F15" s="33">
        <v>4.1500000000000004</v>
      </c>
      <c r="G15" s="33"/>
      <c r="H15" s="33">
        <v>4.1399999999999997</v>
      </c>
      <c r="I15" s="33"/>
      <c r="J15" s="21"/>
      <c r="K15" s="33">
        <v>1.22</v>
      </c>
      <c r="L15" s="33">
        <v>52.05</v>
      </c>
      <c r="M15" s="33">
        <v>94.24</v>
      </c>
      <c r="N15" s="33">
        <v>3.1E-2</v>
      </c>
      <c r="O15" s="21">
        <v>42</v>
      </c>
    </row>
    <row r="16" spans="1:15" x14ac:dyDescent="0.3">
      <c r="A16" s="25" t="s">
        <v>1254</v>
      </c>
      <c r="B16" s="31"/>
      <c r="C16" s="31"/>
      <c r="D16" s="31"/>
      <c r="E16" s="31"/>
      <c r="F16" s="31">
        <v>3.7</v>
      </c>
      <c r="G16" s="31"/>
      <c r="H16" s="31">
        <v>3.91</v>
      </c>
      <c r="I16" s="31"/>
      <c r="J16" s="23"/>
      <c r="K16" s="31">
        <v>1.1399999999999999</v>
      </c>
      <c r="L16" s="31">
        <v>56.1</v>
      </c>
      <c r="M16" s="31">
        <v>95.84</v>
      </c>
      <c r="N16" s="31">
        <v>3.6999999999999998E-2</v>
      </c>
      <c r="O16" s="23">
        <v>42</v>
      </c>
    </row>
    <row r="17" spans="1:15" x14ac:dyDescent="0.3">
      <c r="A17" s="26" t="s">
        <v>1255</v>
      </c>
      <c r="B17" s="33"/>
      <c r="C17" s="33"/>
      <c r="D17" s="33"/>
      <c r="E17" s="33"/>
      <c r="F17" s="33">
        <v>3.75</v>
      </c>
      <c r="G17" s="33"/>
      <c r="H17" s="33">
        <v>3.82</v>
      </c>
      <c r="I17" s="33"/>
      <c r="J17" s="21"/>
      <c r="K17" s="33">
        <v>0.95</v>
      </c>
      <c r="L17" s="33">
        <v>53.99</v>
      </c>
      <c r="M17" s="33">
        <v>95.28</v>
      </c>
      <c r="N17" s="33">
        <v>8.8999999999999996E-2</v>
      </c>
      <c r="O17" s="21">
        <v>42</v>
      </c>
    </row>
    <row r="18" spans="1:15" x14ac:dyDescent="0.3">
      <c r="A18" s="25" t="s">
        <v>1256</v>
      </c>
      <c r="B18" s="31"/>
      <c r="C18" s="31"/>
      <c r="D18" s="31"/>
      <c r="E18" s="31"/>
      <c r="F18" s="31">
        <v>3.46</v>
      </c>
      <c r="G18" s="31"/>
      <c r="H18" s="31">
        <v>3.55</v>
      </c>
      <c r="I18" s="31"/>
      <c r="J18" s="23"/>
      <c r="K18" s="31">
        <v>0.95</v>
      </c>
      <c r="L18" s="31">
        <v>54.58</v>
      </c>
      <c r="M18" s="31">
        <v>96.96</v>
      </c>
      <c r="N18" s="31">
        <v>0.16800000000000001</v>
      </c>
      <c r="O18" s="23">
        <v>39</v>
      </c>
    </row>
    <row r="19" spans="1:15" x14ac:dyDescent="0.3">
      <c r="A19" s="26" t="s">
        <v>1257</v>
      </c>
      <c r="B19" s="33"/>
      <c r="C19" s="33"/>
      <c r="D19" s="33"/>
      <c r="E19" s="33"/>
      <c r="F19" s="33">
        <v>2.82</v>
      </c>
      <c r="G19" s="33"/>
      <c r="H19" s="33">
        <v>3.1</v>
      </c>
      <c r="I19" s="33"/>
      <c r="J19" s="21"/>
      <c r="K19" s="33">
        <v>0.99</v>
      </c>
      <c r="L19" s="33">
        <v>56.68</v>
      </c>
      <c r="M19" s="33">
        <v>96.72</v>
      </c>
      <c r="N19" s="33">
        <v>0.52</v>
      </c>
      <c r="O19" s="21">
        <v>38</v>
      </c>
    </row>
    <row r="20" spans="1:15" x14ac:dyDescent="0.3">
      <c r="A20" s="25" t="s">
        <v>1258</v>
      </c>
      <c r="B20" s="31"/>
      <c r="C20" s="31"/>
      <c r="D20" s="31"/>
      <c r="E20" s="31"/>
      <c r="F20" s="31">
        <v>2.82</v>
      </c>
      <c r="G20" s="31"/>
      <c r="H20" s="31">
        <v>2.91</v>
      </c>
      <c r="I20" s="31"/>
      <c r="J20" s="23"/>
      <c r="K20" s="31">
        <v>1.18</v>
      </c>
      <c r="L20" s="31">
        <v>56.21</v>
      </c>
      <c r="M20" s="31">
        <v>95.53</v>
      </c>
      <c r="N20" s="31">
        <v>0.86</v>
      </c>
      <c r="O20" s="23">
        <v>39</v>
      </c>
    </row>
    <row r="21" spans="1:15" x14ac:dyDescent="0.3">
      <c r="A21" s="26" t="s">
        <v>1259</v>
      </c>
      <c r="B21" s="33"/>
      <c r="C21" s="33"/>
      <c r="D21" s="33"/>
      <c r="E21" s="33"/>
      <c r="F21" s="33">
        <v>2.74</v>
      </c>
      <c r="G21" s="33"/>
      <c r="H21" s="33">
        <v>2.81</v>
      </c>
      <c r="I21" s="33"/>
      <c r="J21" s="21"/>
      <c r="K21" s="33">
        <v>1.32</v>
      </c>
      <c r="L21" s="33">
        <v>53.84</v>
      </c>
      <c r="M21" s="33">
        <v>94.56</v>
      </c>
      <c r="N21" s="33">
        <v>0.93600000000000005</v>
      </c>
      <c r="O21" s="21">
        <v>40</v>
      </c>
    </row>
    <row r="22" spans="1:15" x14ac:dyDescent="0.3">
      <c r="A22" s="25" t="s">
        <v>1260</v>
      </c>
      <c r="B22" s="31"/>
      <c r="C22" s="31"/>
      <c r="D22" s="31"/>
      <c r="E22" s="31">
        <v>3.79</v>
      </c>
      <c r="F22" s="31">
        <v>2.98</v>
      </c>
      <c r="G22" s="31"/>
      <c r="H22" s="31">
        <v>2.78</v>
      </c>
      <c r="I22" s="31"/>
      <c r="J22" s="23"/>
      <c r="K22" s="31">
        <v>1.42</v>
      </c>
      <c r="L22" s="31">
        <v>56.06</v>
      </c>
      <c r="M22" s="31">
        <v>94.62</v>
      </c>
      <c r="N22" s="31">
        <v>1.7849999999999999</v>
      </c>
      <c r="O22" s="23">
        <v>40</v>
      </c>
    </row>
    <row r="23" spans="1:15" x14ac:dyDescent="0.3">
      <c r="A23" s="26" t="s">
        <v>1261</v>
      </c>
      <c r="B23" s="33"/>
      <c r="C23" s="33"/>
      <c r="D23" s="33"/>
      <c r="E23" s="33"/>
      <c r="F23" s="33">
        <v>2.69</v>
      </c>
      <c r="G23" s="33"/>
      <c r="H23" s="33">
        <v>2.77</v>
      </c>
      <c r="I23" s="33"/>
      <c r="J23" s="21"/>
      <c r="K23" s="33">
        <v>1.42</v>
      </c>
      <c r="L23" s="33">
        <v>60.98</v>
      </c>
      <c r="M23" s="33">
        <v>94.64</v>
      </c>
      <c r="N23" s="33">
        <v>2.1389999999999998</v>
      </c>
      <c r="O23" s="21">
        <v>39</v>
      </c>
    </row>
    <row r="24" spans="1:15" x14ac:dyDescent="0.3">
      <c r="A24" s="25" t="s">
        <v>1262</v>
      </c>
      <c r="B24" s="31"/>
      <c r="C24" s="31"/>
      <c r="D24" s="31"/>
      <c r="E24" s="31"/>
      <c r="F24" s="31">
        <v>3.1</v>
      </c>
      <c r="G24" s="31"/>
      <c r="H24" s="31">
        <v>3.24</v>
      </c>
      <c r="I24" s="31"/>
      <c r="J24" s="23"/>
      <c r="K24" s="31">
        <v>1.79</v>
      </c>
      <c r="L24" s="31">
        <v>58.58</v>
      </c>
      <c r="M24" s="31">
        <v>93.82</v>
      </c>
      <c r="N24" s="31">
        <v>2.742</v>
      </c>
      <c r="O24" s="23">
        <v>38</v>
      </c>
    </row>
    <row r="25" spans="1:15" x14ac:dyDescent="0.3">
      <c r="A25" s="26" t="s">
        <v>1263</v>
      </c>
      <c r="B25" s="33">
        <v>66.760000000000005</v>
      </c>
      <c r="C25" s="33">
        <v>3.03</v>
      </c>
      <c r="D25" s="33">
        <v>15.67</v>
      </c>
      <c r="E25" s="33"/>
      <c r="F25" s="33">
        <v>2.87</v>
      </c>
      <c r="G25" s="33"/>
      <c r="H25" s="33">
        <v>3.05</v>
      </c>
      <c r="I25" s="33"/>
      <c r="J25" s="21"/>
      <c r="K25" s="33">
        <v>1.43</v>
      </c>
      <c r="L25" s="33">
        <v>61.54</v>
      </c>
      <c r="M25" s="33">
        <v>94.52</v>
      </c>
      <c r="N25" s="33">
        <v>2.859</v>
      </c>
      <c r="O25" s="21">
        <v>40</v>
      </c>
    </row>
    <row r="26" spans="1:15" x14ac:dyDescent="0.3">
      <c r="A26" s="25" t="s">
        <v>1264</v>
      </c>
      <c r="B26" s="31">
        <v>68.08</v>
      </c>
      <c r="C26" s="31">
        <v>3.23</v>
      </c>
      <c r="D26" s="31">
        <v>19.010000000000002</v>
      </c>
      <c r="E26" s="31"/>
      <c r="F26" s="31">
        <v>2.71</v>
      </c>
      <c r="G26" s="31"/>
      <c r="H26" s="31">
        <v>3.33</v>
      </c>
      <c r="I26" s="31"/>
      <c r="J26" s="23"/>
      <c r="K26" s="31">
        <v>1.59</v>
      </c>
      <c r="L26" s="31">
        <v>60.64</v>
      </c>
      <c r="M26" s="31">
        <v>93.36</v>
      </c>
      <c r="N26" s="31">
        <v>2.5190000000000001</v>
      </c>
      <c r="O26" s="23">
        <v>40</v>
      </c>
    </row>
    <row r="27" spans="1:15" x14ac:dyDescent="0.3">
      <c r="A27" s="26" t="s">
        <v>1265</v>
      </c>
      <c r="B27" s="33">
        <v>69.760000000000005</v>
      </c>
      <c r="C27" s="33">
        <v>3.04</v>
      </c>
      <c r="D27" s="33">
        <v>19.920000000000002</v>
      </c>
      <c r="E27" s="33"/>
      <c r="F27" s="33">
        <v>2.44</v>
      </c>
      <c r="G27" s="33"/>
      <c r="H27" s="33">
        <v>3</v>
      </c>
      <c r="I27" s="33"/>
      <c r="J27" s="21"/>
      <c r="K27" s="33">
        <v>1.47</v>
      </c>
      <c r="L27" s="33">
        <v>56.16</v>
      </c>
      <c r="M27" s="33">
        <v>93.1</v>
      </c>
      <c r="N27" s="33">
        <v>1.9319999999999999</v>
      </c>
      <c r="O27" s="21">
        <v>40</v>
      </c>
    </row>
    <row r="28" spans="1:15" x14ac:dyDescent="0.3">
      <c r="A28" s="25" t="s">
        <v>1266</v>
      </c>
      <c r="B28" s="31">
        <v>69.84</v>
      </c>
      <c r="C28" s="31">
        <v>2.84</v>
      </c>
      <c r="D28" s="31">
        <v>19.920000000000002</v>
      </c>
      <c r="E28" s="31"/>
      <c r="F28" s="31">
        <v>2.35</v>
      </c>
      <c r="G28" s="31"/>
      <c r="H28" s="31">
        <v>2.38</v>
      </c>
      <c r="I28" s="31"/>
      <c r="J28" s="23"/>
      <c r="K28" s="31">
        <v>1.57</v>
      </c>
      <c r="L28" s="31">
        <v>58.01</v>
      </c>
      <c r="M28" s="31">
        <v>93.62</v>
      </c>
      <c r="N28" s="31">
        <v>1.913</v>
      </c>
      <c r="O28" s="23">
        <v>40</v>
      </c>
    </row>
    <row r="29" spans="1:15" x14ac:dyDescent="0.3">
      <c r="A29" s="26" t="s">
        <v>196</v>
      </c>
      <c r="B29" s="33">
        <v>69.13</v>
      </c>
      <c r="C29" s="33">
        <v>2.82</v>
      </c>
      <c r="D29" s="33">
        <v>20.29</v>
      </c>
      <c r="E29" s="33"/>
      <c r="F29" s="33"/>
      <c r="G29" s="33"/>
      <c r="H29" s="33"/>
      <c r="I29" s="33">
        <v>4.01</v>
      </c>
      <c r="J29" s="21">
        <v>5</v>
      </c>
      <c r="K29" s="33">
        <v>1.96</v>
      </c>
      <c r="L29" s="33">
        <v>58.9</v>
      </c>
      <c r="M29" s="33">
        <v>93.55</v>
      </c>
      <c r="N29" s="33">
        <v>2.306</v>
      </c>
      <c r="O29" s="21">
        <v>39</v>
      </c>
    </row>
    <row r="30" spans="1:15" x14ac:dyDescent="0.3">
      <c r="A30" s="25" t="s">
        <v>197</v>
      </c>
      <c r="B30" s="31">
        <v>68.11</v>
      </c>
      <c r="C30" s="31">
        <v>2.87</v>
      </c>
      <c r="D30" s="31">
        <v>18.16</v>
      </c>
      <c r="E30" s="31"/>
      <c r="F30" s="31">
        <v>2.6</v>
      </c>
      <c r="G30" s="31"/>
      <c r="H30" s="31">
        <v>2.82</v>
      </c>
      <c r="I30" s="31">
        <v>5.1100000000000003</v>
      </c>
      <c r="J30" s="23">
        <v>4</v>
      </c>
      <c r="K30" s="31">
        <v>1.97</v>
      </c>
      <c r="L30" s="31">
        <v>58.77</v>
      </c>
      <c r="M30" s="31">
        <v>93.91</v>
      </c>
      <c r="N30" s="31">
        <v>2.2320000000000002</v>
      </c>
      <c r="O30" s="23">
        <v>41</v>
      </c>
    </row>
    <row r="31" spans="1:15" x14ac:dyDescent="0.3">
      <c r="A31" s="26" t="s">
        <v>183</v>
      </c>
      <c r="B31" s="33">
        <v>67.81</v>
      </c>
      <c r="C31" s="33">
        <v>2.96</v>
      </c>
      <c r="D31" s="33">
        <v>17.63</v>
      </c>
      <c r="E31" s="33"/>
      <c r="F31" s="33">
        <v>3.06</v>
      </c>
      <c r="G31" s="33"/>
      <c r="H31" s="33">
        <v>2.7</v>
      </c>
      <c r="I31" s="33">
        <v>5.3</v>
      </c>
      <c r="J31" s="21">
        <v>3</v>
      </c>
      <c r="K31" s="33">
        <v>2.04</v>
      </c>
      <c r="L31" s="33">
        <v>58.92</v>
      </c>
      <c r="M31" s="33">
        <v>93.68</v>
      </c>
      <c r="N31" s="33">
        <v>2.48</v>
      </c>
      <c r="O31" s="21">
        <v>41</v>
      </c>
    </row>
    <row r="32" spans="1:15" x14ac:dyDescent="0.3">
      <c r="A32" s="25" t="s">
        <v>184</v>
      </c>
      <c r="B32" s="31">
        <v>68.040000000000006</v>
      </c>
      <c r="C32" s="31">
        <v>2.84</v>
      </c>
      <c r="D32" s="31">
        <v>16.45</v>
      </c>
      <c r="E32" s="31"/>
      <c r="F32" s="31">
        <v>3.06</v>
      </c>
      <c r="G32" s="31"/>
      <c r="H32" s="31">
        <v>3.55</v>
      </c>
      <c r="I32" s="31">
        <v>9.98</v>
      </c>
      <c r="J32" s="23">
        <v>2</v>
      </c>
      <c r="K32" s="31">
        <v>2.06</v>
      </c>
      <c r="L32" s="31">
        <v>55.84</v>
      </c>
      <c r="M32" s="31">
        <v>94.51</v>
      </c>
      <c r="N32" s="31">
        <v>2.206</v>
      </c>
      <c r="O32" s="23">
        <v>40</v>
      </c>
    </row>
    <row r="33" spans="1:15" x14ac:dyDescent="0.3">
      <c r="A33" s="26" t="s">
        <v>185</v>
      </c>
      <c r="B33" s="33">
        <v>68.37</v>
      </c>
      <c r="C33" s="33">
        <v>2.92</v>
      </c>
      <c r="D33" s="33">
        <v>16.940000000000001</v>
      </c>
      <c r="E33" s="33"/>
      <c r="F33" s="33">
        <v>2.85</v>
      </c>
      <c r="G33" s="33"/>
      <c r="H33" s="33">
        <v>3.39</v>
      </c>
      <c r="I33" s="33">
        <v>16.72</v>
      </c>
      <c r="J33" s="21">
        <v>2</v>
      </c>
      <c r="K33" s="33">
        <v>2</v>
      </c>
      <c r="L33" s="33">
        <v>50.64</v>
      </c>
      <c r="M33" s="33">
        <v>95.58</v>
      </c>
      <c r="N33" s="33">
        <v>2.1309999999999998</v>
      </c>
      <c r="O33" s="21">
        <v>40</v>
      </c>
    </row>
    <row r="34" spans="1:15" x14ac:dyDescent="0.3">
      <c r="A34" s="25" t="s">
        <v>186</v>
      </c>
      <c r="B34" s="31">
        <v>68.489999999999995</v>
      </c>
      <c r="C34" s="31">
        <v>2.91</v>
      </c>
      <c r="D34" s="31">
        <v>15.37</v>
      </c>
      <c r="E34" s="31"/>
      <c r="F34" s="31">
        <v>3.08</v>
      </c>
      <c r="G34" s="31"/>
      <c r="H34" s="31">
        <v>3.13</v>
      </c>
      <c r="I34" s="31">
        <v>17.62</v>
      </c>
      <c r="J34" s="23">
        <v>2</v>
      </c>
      <c r="K34" s="31">
        <v>2.06</v>
      </c>
      <c r="L34" s="31">
        <v>46.39</v>
      </c>
      <c r="M34" s="31">
        <v>91.76</v>
      </c>
      <c r="N34" s="31">
        <v>2.2970000000000002</v>
      </c>
      <c r="O34" s="23">
        <v>40</v>
      </c>
    </row>
    <row r="35" spans="1:15" x14ac:dyDescent="0.3">
      <c r="A35" s="26" t="s">
        <v>187</v>
      </c>
      <c r="B35" s="33">
        <v>69.05</v>
      </c>
      <c r="C35" s="33">
        <v>2.87</v>
      </c>
      <c r="D35" s="33">
        <v>17.05</v>
      </c>
      <c r="E35" s="33">
        <v>4.63</v>
      </c>
      <c r="F35" s="33">
        <v>2.65</v>
      </c>
      <c r="G35" s="33"/>
      <c r="H35" s="33">
        <v>2.9</v>
      </c>
      <c r="I35" s="33">
        <v>23.67</v>
      </c>
      <c r="J35" s="21">
        <v>2</v>
      </c>
      <c r="K35" s="33">
        <v>2.09</v>
      </c>
      <c r="L35" s="33">
        <v>36.14</v>
      </c>
      <c r="M35" s="33">
        <v>93.02</v>
      </c>
      <c r="N35" s="33">
        <v>2.0499999999999998</v>
      </c>
      <c r="O35" s="21">
        <v>40</v>
      </c>
    </row>
    <row r="36" spans="1:15" x14ac:dyDescent="0.3">
      <c r="A36" s="25" t="s">
        <v>188</v>
      </c>
      <c r="B36" s="31">
        <v>68.13</v>
      </c>
      <c r="C36" s="31">
        <v>2.82</v>
      </c>
      <c r="D36" s="31">
        <v>14.28</v>
      </c>
      <c r="E36" s="31"/>
      <c r="F36" s="31">
        <v>2.63</v>
      </c>
      <c r="G36" s="31"/>
      <c r="H36" s="31">
        <v>2.86</v>
      </c>
      <c r="I36" s="31">
        <v>24.26</v>
      </c>
      <c r="J36" s="23">
        <v>2</v>
      </c>
      <c r="K36" s="31">
        <v>1.73</v>
      </c>
      <c r="L36" s="31">
        <v>33.83</v>
      </c>
      <c r="M36" s="31">
        <v>93.77</v>
      </c>
      <c r="N36" s="31">
        <v>1.847</v>
      </c>
      <c r="O36" s="23">
        <v>42</v>
      </c>
    </row>
    <row r="37" spans="1:15" x14ac:dyDescent="0.3">
      <c r="A37" s="26" t="s">
        <v>67</v>
      </c>
      <c r="B37" s="33">
        <v>69.05</v>
      </c>
      <c r="C37" s="33">
        <v>2.87</v>
      </c>
      <c r="D37" s="33">
        <v>15.32</v>
      </c>
      <c r="E37" s="33"/>
      <c r="F37" s="33">
        <v>2.69</v>
      </c>
      <c r="G37" s="33">
        <v>2.4900000000000002</v>
      </c>
      <c r="H37" s="33">
        <v>2.4900000000000002</v>
      </c>
      <c r="I37" s="33">
        <v>25.5</v>
      </c>
      <c r="J37" s="21">
        <v>2</v>
      </c>
      <c r="K37" s="33">
        <v>1.51</v>
      </c>
      <c r="L37" s="33">
        <v>33.340000000000003</v>
      </c>
      <c r="M37" s="33">
        <v>93.53</v>
      </c>
      <c r="N37" s="33">
        <v>1.837</v>
      </c>
      <c r="O37" s="21">
        <v>41</v>
      </c>
    </row>
    <row r="38" spans="1:15" x14ac:dyDescent="0.3">
      <c r="A38" s="25" t="s">
        <v>68</v>
      </c>
      <c r="B38" s="31">
        <v>65.19</v>
      </c>
      <c r="C38" s="31">
        <v>2.94</v>
      </c>
      <c r="D38" s="31">
        <v>12.61</v>
      </c>
      <c r="E38" s="31">
        <v>2.88</v>
      </c>
      <c r="F38" s="31">
        <v>2.66</v>
      </c>
      <c r="G38" s="31"/>
      <c r="H38" s="31">
        <v>2.91</v>
      </c>
      <c r="I38" s="31">
        <v>25.38</v>
      </c>
      <c r="J38" s="23">
        <v>2</v>
      </c>
      <c r="K38" s="31">
        <v>1.29</v>
      </c>
      <c r="L38" s="31">
        <v>33.840000000000003</v>
      </c>
      <c r="M38" s="31">
        <v>94.52</v>
      </c>
      <c r="N38" s="31">
        <v>1.825</v>
      </c>
      <c r="O38" s="23">
        <v>42</v>
      </c>
    </row>
    <row r="40" spans="1:15" x14ac:dyDescent="0.3">
      <c r="A40" s="11" t="s">
        <v>1267</v>
      </c>
      <c r="B40" s="24">
        <v>139</v>
      </c>
      <c r="C40" s="36" t="s">
        <v>1268</v>
      </c>
    </row>
    <row r="41" spans="1:15" x14ac:dyDescent="0.3">
      <c r="A41" s="11" t="s">
        <v>1269</v>
      </c>
      <c r="C41" s="36" t="s">
        <v>1270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1"/>
  <sheetViews>
    <sheetView showGridLines="0" workbookViewId="0">
      <pane xSplit="1" ySplit="4" topLeftCell="B5" activePane="bottomRight" state="frozen"/>
      <selection pane="topRight"/>
      <selection pane="bottomLeft"/>
      <selection pane="bottomRight"/>
    </sheetView>
  </sheetViews>
  <sheetFormatPr defaultRowHeight="14" x14ac:dyDescent="0.3"/>
  <cols>
    <col min="1" max="1" width="30" customWidth="1"/>
    <col min="2" max="5" width="20" customWidth="1"/>
    <col min="6" max="6" width="44" customWidth="1"/>
  </cols>
  <sheetData>
    <row r="1" spans="1:6" ht="18" x14ac:dyDescent="0.4">
      <c r="A1" s="1" t="s">
        <v>1271</v>
      </c>
    </row>
    <row r="2" spans="1:6" x14ac:dyDescent="0.3">
      <c r="A2" s="8" t="s">
        <v>1272</v>
      </c>
    </row>
    <row r="4" spans="1:6" ht="30" customHeight="1" x14ac:dyDescent="0.3">
      <c r="A4" s="9" t="s">
        <v>1189</v>
      </c>
      <c r="B4" s="10" t="s">
        <v>1273</v>
      </c>
      <c r="C4" s="10" t="s">
        <v>1274</v>
      </c>
      <c r="D4" s="10" t="s">
        <v>1275</v>
      </c>
      <c r="E4" s="10" t="s">
        <v>1276</v>
      </c>
      <c r="F4" s="10" t="s">
        <v>71</v>
      </c>
    </row>
    <row r="5" spans="1:6" x14ac:dyDescent="0.3">
      <c r="A5" s="16" t="s">
        <v>1198</v>
      </c>
      <c r="B5" s="21">
        <v>51522.400000000001</v>
      </c>
      <c r="C5" s="34">
        <f t="shared" ref="C5:C15" si="0">IF(B5="","",B5/$B$17*100)</f>
        <v>11.353547818422213</v>
      </c>
      <c r="D5" s="17">
        <v>2097</v>
      </c>
      <c r="E5" s="33">
        <v>9.36</v>
      </c>
      <c r="F5" s="20" t="s">
        <v>1277</v>
      </c>
    </row>
    <row r="6" spans="1:6" x14ac:dyDescent="0.3">
      <c r="A6" s="11" t="s">
        <v>1197</v>
      </c>
      <c r="B6" s="23">
        <v>40472.6</v>
      </c>
      <c r="C6" s="32">
        <f t="shared" si="0"/>
        <v>8.9185985015425295</v>
      </c>
      <c r="D6" s="12">
        <v>1529</v>
      </c>
      <c r="E6" s="31">
        <v>11.17</v>
      </c>
      <c r="F6" s="15" t="s">
        <v>1278</v>
      </c>
    </row>
    <row r="7" spans="1:6" x14ac:dyDescent="0.3">
      <c r="A7" s="16" t="s">
        <v>1204</v>
      </c>
      <c r="B7" s="21">
        <v>38177.199999999997</v>
      </c>
      <c r="C7" s="34">
        <f t="shared" si="0"/>
        <v>8.4127809607756721</v>
      </c>
      <c r="D7" s="17">
        <v>2158.6</v>
      </c>
      <c r="E7" s="33">
        <v>3.57</v>
      </c>
      <c r="F7" s="20" t="s">
        <v>1279</v>
      </c>
    </row>
    <row r="8" spans="1:6" x14ac:dyDescent="0.3">
      <c r="A8" s="11" t="s">
        <v>1195</v>
      </c>
      <c r="B8" s="23">
        <v>31311.5</v>
      </c>
      <c r="C8" s="32">
        <f t="shared" si="0"/>
        <v>6.8998457470251209</v>
      </c>
      <c r="D8" s="12">
        <v>1378.4</v>
      </c>
      <c r="E8" s="31">
        <v>12.61</v>
      </c>
      <c r="F8" s="15" t="s">
        <v>1280</v>
      </c>
    </row>
    <row r="9" spans="1:6" x14ac:dyDescent="0.3">
      <c r="A9" s="16" t="s">
        <v>1201</v>
      </c>
      <c r="B9" s="21">
        <v>29023.5</v>
      </c>
      <c r="C9" s="34">
        <f t="shared" si="0"/>
        <v>6.3956588805641257</v>
      </c>
      <c r="D9" s="17">
        <v>340.5</v>
      </c>
      <c r="E9" s="33">
        <v>6.8</v>
      </c>
      <c r="F9" s="20" t="s">
        <v>1281</v>
      </c>
    </row>
    <row r="10" spans="1:6" x14ac:dyDescent="0.3">
      <c r="A10" s="11" t="s">
        <v>1200</v>
      </c>
      <c r="B10" s="23">
        <v>17145.8</v>
      </c>
      <c r="C10" s="32">
        <f t="shared" si="0"/>
        <v>3.7782723666813576</v>
      </c>
      <c r="D10" s="12">
        <v>270.8</v>
      </c>
      <c r="E10" s="31">
        <v>7</v>
      </c>
      <c r="F10" s="15" t="s">
        <v>1282</v>
      </c>
    </row>
    <row r="11" spans="1:6" x14ac:dyDescent="0.3">
      <c r="A11" s="16" t="s">
        <v>1202</v>
      </c>
      <c r="B11" s="21">
        <v>16828.099999999999</v>
      </c>
      <c r="C11" s="34">
        <f t="shared" si="0"/>
        <v>3.7082635522256497</v>
      </c>
      <c r="D11" s="17">
        <v>377.2</v>
      </c>
      <c r="E11" s="33">
        <v>4.79</v>
      </c>
      <c r="F11" s="20" t="s">
        <v>1283</v>
      </c>
    </row>
    <row r="12" spans="1:6" x14ac:dyDescent="0.3">
      <c r="A12" s="11" t="s">
        <v>1213</v>
      </c>
      <c r="B12" s="23">
        <v>13958.1</v>
      </c>
      <c r="C12" s="32">
        <f t="shared" si="0"/>
        <v>3.0758263552225653</v>
      </c>
      <c r="D12" s="12">
        <v>75.3</v>
      </c>
      <c r="E12" s="31"/>
      <c r="F12" s="15" t="s">
        <v>1284</v>
      </c>
    </row>
    <row r="13" spans="1:6" x14ac:dyDescent="0.3">
      <c r="A13" s="16" t="s">
        <v>1203</v>
      </c>
      <c r="B13" s="21">
        <v>12859</v>
      </c>
      <c r="C13" s="34">
        <f t="shared" si="0"/>
        <v>2.8336271485235787</v>
      </c>
      <c r="D13" s="17">
        <v>1105.5</v>
      </c>
      <c r="E13" s="33">
        <v>3.96</v>
      </c>
      <c r="F13" s="20" t="s">
        <v>1285</v>
      </c>
    </row>
    <row r="14" spans="1:6" x14ac:dyDescent="0.3">
      <c r="A14" s="11" t="s">
        <v>1286</v>
      </c>
      <c r="B14" s="23">
        <v>11722.1</v>
      </c>
      <c r="C14" s="32">
        <f t="shared" si="0"/>
        <v>2.5830982811811372</v>
      </c>
      <c r="D14" s="12">
        <v>89.7</v>
      </c>
      <c r="E14" s="31"/>
      <c r="F14" s="15" t="s">
        <v>1287</v>
      </c>
    </row>
    <row r="15" spans="1:6" x14ac:dyDescent="0.3">
      <c r="A15" s="16" t="s">
        <v>1211</v>
      </c>
      <c r="B15" s="21">
        <v>6303.1</v>
      </c>
      <c r="C15" s="34">
        <f t="shared" si="0"/>
        <v>1.3889598942265315</v>
      </c>
      <c r="D15" s="17">
        <v>97.4</v>
      </c>
      <c r="E15" s="33"/>
      <c r="F15" s="20" t="s">
        <v>1288</v>
      </c>
    </row>
    <row r="16" spans="1:6" x14ac:dyDescent="0.3">
      <c r="A16" s="11" t="s">
        <v>1289</v>
      </c>
      <c r="B16" s="24">
        <f>SUM(B5:B15)</f>
        <v>269323.39999999997</v>
      </c>
      <c r="C16" s="32">
        <f>B16/$B$17*100</f>
        <v>59.348479506390476</v>
      </c>
      <c r="D16" s="13">
        <f>SUM(D5:D15)</f>
        <v>9519.4</v>
      </c>
      <c r="E16" s="25"/>
      <c r="F16" s="36"/>
    </row>
    <row r="17" spans="1:6" ht="40" customHeight="1" x14ac:dyDescent="0.3">
      <c r="A17" s="37" t="s">
        <v>1290</v>
      </c>
      <c r="B17" s="38">
        <v>453800</v>
      </c>
      <c r="C17" s="39"/>
      <c r="D17" s="39"/>
      <c r="E17" s="39"/>
      <c r="F17" s="40" t="s">
        <v>1291</v>
      </c>
    </row>
    <row r="19" spans="1:6" x14ac:dyDescent="0.3">
      <c r="A19" s="25" t="s">
        <v>1292</v>
      </c>
      <c r="B19" s="23">
        <v>424100</v>
      </c>
      <c r="C19" s="14">
        <f>(B17-B19)/B19*100</f>
        <v>7.0030653147842488</v>
      </c>
      <c r="D19" s="25"/>
      <c r="E19" s="25"/>
      <c r="F19" s="15" t="s">
        <v>1293</v>
      </c>
    </row>
    <row r="20" spans="1:6" ht="23" x14ac:dyDescent="0.3">
      <c r="A20" s="25" t="s">
        <v>1294</v>
      </c>
      <c r="B20" s="23">
        <v>345308.5</v>
      </c>
      <c r="C20" s="14">
        <f>B20/B17*100</f>
        <v>76.09266196562362</v>
      </c>
      <c r="D20" s="25"/>
      <c r="E20" s="25"/>
      <c r="F20" s="15" t="s">
        <v>1295</v>
      </c>
    </row>
    <row r="21" spans="1:6" ht="23" x14ac:dyDescent="0.3">
      <c r="A21" s="25" t="s">
        <v>1296</v>
      </c>
      <c r="B21" s="23">
        <v>321726.7</v>
      </c>
      <c r="C21" s="14">
        <f>(B20-B21)/B21*100</f>
        <v>7.329761564706935</v>
      </c>
      <c r="D21" s="25"/>
      <c r="E21" s="25"/>
      <c r="F21" s="15" t="s">
        <v>1297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38"/>
  <sheetViews>
    <sheetView showGridLines="0" workbookViewId="0">
      <pane xSplit="1" ySplit="4" topLeftCell="B5" activePane="bottomRight" state="frozen"/>
      <selection pane="topRight"/>
      <selection pane="bottomLeft"/>
      <selection pane="bottomRight"/>
    </sheetView>
  </sheetViews>
  <sheetFormatPr defaultRowHeight="14" x14ac:dyDescent="0.3"/>
  <cols>
    <col min="1" max="2" width="10" customWidth="1"/>
    <col min="3" max="4" width="14" customWidth="1"/>
    <col min="5" max="5" width="12" customWidth="1"/>
    <col min="6" max="11" width="14" customWidth="1"/>
    <col min="12" max="12" width="12" customWidth="1"/>
  </cols>
  <sheetData>
    <row r="1" spans="1:12" ht="18" x14ac:dyDescent="0.4">
      <c r="A1" s="1" t="s">
        <v>1298</v>
      </c>
    </row>
    <row r="2" spans="1:12" x14ac:dyDescent="0.3">
      <c r="A2" s="8" t="s">
        <v>1299</v>
      </c>
    </row>
    <row r="4" spans="1:12" ht="44" customHeight="1" x14ac:dyDescent="0.3">
      <c r="A4" s="9" t="s">
        <v>1221</v>
      </c>
      <c r="B4" s="10" t="s">
        <v>1300</v>
      </c>
      <c r="C4" s="10" t="s">
        <v>1301</v>
      </c>
      <c r="D4" s="10" t="s">
        <v>1302</v>
      </c>
      <c r="E4" s="10" t="s">
        <v>118</v>
      </c>
      <c r="F4" s="10" t="s">
        <v>72</v>
      </c>
      <c r="G4" s="10" t="s">
        <v>1303</v>
      </c>
      <c r="H4" s="10" t="s">
        <v>1304</v>
      </c>
      <c r="I4" s="10" t="s">
        <v>92</v>
      </c>
      <c r="J4" s="10" t="s">
        <v>1305</v>
      </c>
      <c r="K4" s="10" t="s">
        <v>1306</v>
      </c>
      <c r="L4" s="10" t="s">
        <v>1307</v>
      </c>
    </row>
    <row r="5" spans="1:12" x14ac:dyDescent="0.3">
      <c r="A5" s="26" t="s">
        <v>1243</v>
      </c>
      <c r="B5" s="21">
        <v>40</v>
      </c>
      <c r="C5" s="21">
        <v>39222.987000000001</v>
      </c>
      <c r="D5" s="21">
        <v>44590.105000000003</v>
      </c>
      <c r="E5" s="19">
        <f t="shared" ref="E5:E38" si="0">IF(D5=0,"",C5/D5*100)</f>
        <v>87.963432694316367</v>
      </c>
      <c r="F5" s="21">
        <v>5616.1059999999998</v>
      </c>
      <c r="G5" s="21">
        <v>1748.3920000000001</v>
      </c>
      <c r="H5" s="21">
        <v>-866.81399999999996</v>
      </c>
      <c r="I5" s="21">
        <v>2593.5770000000002</v>
      </c>
      <c r="J5" s="21">
        <v>17876.995999999999</v>
      </c>
      <c r="K5" s="17">
        <v>29.365200000000002</v>
      </c>
      <c r="L5" s="34">
        <f t="shared" ref="L5:L38" si="1">IF(C5=0,"",K5/C5*100)</f>
        <v>7.4867322062952518E-2</v>
      </c>
    </row>
    <row r="6" spans="1:12" x14ac:dyDescent="0.3">
      <c r="A6" s="25" t="s">
        <v>1244</v>
      </c>
      <c r="B6" s="23">
        <v>42</v>
      </c>
      <c r="C6" s="23">
        <v>33835.607000000004</v>
      </c>
      <c r="D6" s="23">
        <v>45211.504000000001</v>
      </c>
      <c r="E6" s="14">
        <f t="shared" si="0"/>
        <v>74.838490221426838</v>
      </c>
      <c r="F6" s="23">
        <v>5195.7299999999996</v>
      </c>
      <c r="G6" s="23">
        <v>1647.2260000000001</v>
      </c>
      <c r="H6" s="23">
        <v>-926.94399999999996</v>
      </c>
      <c r="I6" s="23">
        <v>1544.9449999999999</v>
      </c>
      <c r="J6" s="23">
        <v>16099.415000000001</v>
      </c>
      <c r="K6" s="12">
        <v>26.574400000000001</v>
      </c>
      <c r="L6" s="32">
        <f t="shared" si="1"/>
        <v>7.8539746604811903E-2</v>
      </c>
    </row>
    <row r="7" spans="1:12" x14ac:dyDescent="0.3">
      <c r="A7" s="26" t="s">
        <v>1245</v>
      </c>
      <c r="B7" s="21">
        <v>42</v>
      </c>
      <c r="C7" s="21">
        <v>37195.603000000003</v>
      </c>
      <c r="D7" s="21">
        <v>48624.103000000003</v>
      </c>
      <c r="E7" s="19">
        <f t="shared" si="0"/>
        <v>76.496224516470761</v>
      </c>
      <c r="F7" s="21">
        <v>4761.5190000000002</v>
      </c>
      <c r="G7" s="21">
        <v>1127.5329999999999</v>
      </c>
      <c r="H7" s="21">
        <v>-717.17</v>
      </c>
      <c r="I7" s="21">
        <v>2394.7469999999998</v>
      </c>
      <c r="J7" s="21">
        <v>16440.543000000001</v>
      </c>
      <c r="K7" s="17">
        <v>22.386099999999999</v>
      </c>
      <c r="L7" s="34">
        <f t="shared" si="1"/>
        <v>6.0184801950918763E-2</v>
      </c>
    </row>
    <row r="8" spans="1:12" x14ac:dyDescent="0.3">
      <c r="A8" s="25" t="s">
        <v>1246</v>
      </c>
      <c r="B8" s="23">
        <v>43</v>
      </c>
      <c r="C8" s="23">
        <v>34649.082999999999</v>
      </c>
      <c r="D8" s="23">
        <v>51196.332000000002</v>
      </c>
      <c r="E8" s="14">
        <f t="shared" si="0"/>
        <v>67.678838788685098</v>
      </c>
      <c r="F8" s="23">
        <v>5806.259</v>
      </c>
      <c r="G8" s="23">
        <v>1134.069</v>
      </c>
      <c r="H8" s="23">
        <v>-775.56</v>
      </c>
      <c r="I8" s="23">
        <v>2134.415</v>
      </c>
      <c r="J8" s="23">
        <v>12847.204</v>
      </c>
      <c r="K8" s="12">
        <v>18.7363</v>
      </c>
      <c r="L8" s="32">
        <f t="shared" si="1"/>
        <v>5.4074446934136752E-2</v>
      </c>
    </row>
    <row r="9" spans="1:12" x14ac:dyDescent="0.3">
      <c r="A9" s="26" t="s">
        <v>1247</v>
      </c>
      <c r="B9" s="21">
        <v>42</v>
      </c>
      <c r="C9" s="21">
        <v>35641.112000000001</v>
      </c>
      <c r="D9" s="21">
        <v>52969.332000000002</v>
      </c>
      <c r="E9" s="19">
        <f t="shared" si="0"/>
        <v>67.286315787406949</v>
      </c>
      <c r="F9" s="21">
        <v>4291.41</v>
      </c>
      <c r="G9" s="21">
        <v>842.18200000000002</v>
      </c>
      <c r="H9" s="21">
        <v>-661.14400000000001</v>
      </c>
      <c r="I9" s="21">
        <v>1624.944</v>
      </c>
      <c r="J9" s="21">
        <v>18266.650000000001</v>
      </c>
      <c r="K9" s="17">
        <v>31.9864</v>
      </c>
      <c r="L9" s="34">
        <f t="shared" si="1"/>
        <v>8.9745796932486285E-2</v>
      </c>
    </row>
    <row r="10" spans="1:12" x14ac:dyDescent="0.3">
      <c r="A10" s="25" t="s">
        <v>1248</v>
      </c>
      <c r="B10" s="23">
        <v>41</v>
      </c>
      <c r="C10" s="23">
        <v>38879.756000000001</v>
      </c>
      <c r="D10" s="23">
        <v>55139.455999999998</v>
      </c>
      <c r="E10" s="14">
        <f t="shared" si="0"/>
        <v>70.511678606332282</v>
      </c>
      <c r="F10" s="23">
        <v>4959.5309999999999</v>
      </c>
      <c r="G10" s="23">
        <v>927.40700000000004</v>
      </c>
      <c r="H10" s="23">
        <v>-664.59900000000005</v>
      </c>
      <c r="I10" s="23">
        <v>1565.16</v>
      </c>
      <c r="J10" s="23">
        <v>14202.09</v>
      </c>
      <c r="K10" s="12">
        <v>42.976199999999999</v>
      </c>
      <c r="L10" s="32">
        <f t="shared" si="1"/>
        <v>0.11053618752134144</v>
      </c>
    </row>
    <row r="11" spans="1:12" x14ac:dyDescent="0.3">
      <c r="A11" s="26" t="s">
        <v>1249</v>
      </c>
      <c r="B11" s="21">
        <v>42</v>
      </c>
      <c r="C11" s="21">
        <v>38947.608</v>
      </c>
      <c r="D11" s="21">
        <v>57186.413999999997</v>
      </c>
      <c r="E11" s="19">
        <f t="shared" si="0"/>
        <v>68.106400236951387</v>
      </c>
      <c r="F11" s="21">
        <v>5034.0630000000001</v>
      </c>
      <c r="G11" s="21">
        <v>953.49900000000002</v>
      </c>
      <c r="H11" s="21">
        <v>-686.52599999999995</v>
      </c>
      <c r="I11" s="21">
        <v>1677.925</v>
      </c>
      <c r="J11" s="21">
        <v>13631.369000000001</v>
      </c>
      <c r="K11" s="17">
        <v>35.590400000000002</v>
      </c>
      <c r="L11" s="34">
        <f t="shared" si="1"/>
        <v>9.1380194645072937E-2</v>
      </c>
    </row>
    <row r="12" spans="1:12" x14ac:dyDescent="0.3">
      <c r="A12" s="25" t="s">
        <v>1250</v>
      </c>
      <c r="B12" s="23">
        <v>42</v>
      </c>
      <c r="C12" s="23">
        <v>38595.409</v>
      </c>
      <c r="D12" s="23">
        <v>58949.224000000002</v>
      </c>
      <c r="E12" s="14">
        <f t="shared" si="0"/>
        <v>65.472293579301393</v>
      </c>
      <c r="F12" s="23">
        <v>6647.0839999999998</v>
      </c>
      <c r="G12" s="23">
        <v>1002.59</v>
      </c>
      <c r="H12" s="23">
        <v>-783.89400000000001</v>
      </c>
      <c r="I12" s="23">
        <v>2465.66</v>
      </c>
      <c r="J12" s="23">
        <v>11903.68</v>
      </c>
      <c r="K12" s="12">
        <v>31.0106</v>
      </c>
      <c r="L12" s="32">
        <f t="shared" si="1"/>
        <v>8.0347898373094057E-2</v>
      </c>
    </row>
    <row r="13" spans="1:12" x14ac:dyDescent="0.3">
      <c r="A13" s="26" t="s">
        <v>1251</v>
      </c>
      <c r="B13" s="21">
        <v>42</v>
      </c>
      <c r="C13" s="21">
        <v>32820.031999999999</v>
      </c>
      <c r="D13" s="21">
        <v>59068.686999999998</v>
      </c>
      <c r="E13" s="19">
        <f t="shared" si="0"/>
        <v>55.562487786464601</v>
      </c>
      <c r="F13" s="21">
        <v>5625.192</v>
      </c>
      <c r="G13" s="21">
        <v>833.24300000000005</v>
      </c>
      <c r="H13" s="21">
        <v>-638.72199999999998</v>
      </c>
      <c r="I13" s="21">
        <v>490.279</v>
      </c>
      <c r="J13" s="21">
        <v>17111.545999999998</v>
      </c>
      <c r="K13" s="17">
        <v>33.6096</v>
      </c>
      <c r="L13" s="34">
        <f t="shared" si="1"/>
        <v>0.10240575024424109</v>
      </c>
    </row>
    <row r="14" spans="1:12" x14ac:dyDescent="0.3">
      <c r="A14" s="25" t="s">
        <v>1252</v>
      </c>
      <c r="B14" s="23">
        <v>42</v>
      </c>
      <c r="C14" s="23">
        <v>35435.31</v>
      </c>
      <c r="D14" s="23">
        <v>61005.065999999999</v>
      </c>
      <c r="E14" s="14">
        <f t="shared" si="0"/>
        <v>58.08584814907011</v>
      </c>
      <c r="F14" s="23">
        <v>7119.9009999999998</v>
      </c>
      <c r="G14" s="23">
        <v>1167.932</v>
      </c>
      <c r="H14" s="23">
        <v>-878.24199999999996</v>
      </c>
      <c r="I14" s="23">
        <v>3602.6480000000001</v>
      </c>
      <c r="J14" s="23">
        <v>21057.723999999998</v>
      </c>
      <c r="K14" s="12">
        <v>53.1205</v>
      </c>
      <c r="L14" s="32">
        <f t="shared" si="1"/>
        <v>0.14990838234518056</v>
      </c>
    </row>
    <row r="15" spans="1:12" x14ac:dyDescent="0.3">
      <c r="A15" s="26" t="s">
        <v>1253</v>
      </c>
      <c r="B15" s="21">
        <v>42</v>
      </c>
      <c r="C15" s="21">
        <v>42379.853000000003</v>
      </c>
      <c r="D15" s="21">
        <v>63143.669000000002</v>
      </c>
      <c r="E15" s="19">
        <f t="shared" si="0"/>
        <v>67.116551304612983</v>
      </c>
      <c r="F15" s="21">
        <v>6623.3680000000004</v>
      </c>
      <c r="G15" s="21">
        <v>1258.095</v>
      </c>
      <c r="H15" s="21">
        <v>-862.01</v>
      </c>
      <c r="I15" s="21">
        <v>3056.8649999999998</v>
      </c>
      <c r="J15" s="21">
        <v>22962.968000000001</v>
      </c>
      <c r="K15" s="17">
        <v>13.209300000000001</v>
      </c>
      <c r="L15" s="34">
        <f t="shared" si="1"/>
        <v>3.1168819769148325E-2</v>
      </c>
    </row>
    <row r="16" spans="1:12" x14ac:dyDescent="0.3">
      <c r="A16" s="25" t="s">
        <v>1254</v>
      </c>
      <c r="B16" s="23">
        <v>42</v>
      </c>
      <c r="C16" s="23">
        <v>62355.188000000002</v>
      </c>
      <c r="D16" s="23">
        <v>66697.505999999994</v>
      </c>
      <c r="E16" s="14">
        <f t="shared" si="0"/>
        <v>93.489534676154179</v>
      </c>
      <c r="F16" s="23">
        <v>9293.3009999999995</v>
      </c>
      <c r="G16" s="23">
        <v>1940.1420000000001</v>
      </c>
      <c r="H16" s="23">
        <v>-1264.702</v>
      </c>
      <c r="I16" s="23">
        <v>3911.3960000000002</v>
      </c>
      <c r="J16" s="23">
        <v>34589.284</v>
      </c>
      <c r="K16" s="12">
        <v>23.096699999999998</v>
      </c>
      <c r="L16" s="32">
        <f t="shared" si="1"/>
        <v>3.704054264097479E-2</v>
      </c>
    </row>
    <row r="17" spans="1:12" x14ac:dyDescent="0.3">
      <c r="A17" s="26" t="s">
        <v>1255</v>
      </c>
      <c r="B17" s="21">
        <v>42</v>
      </c>
      <c r="C17" s="21">
        <v>75331.581999999995</v>
      </c>
      <c r="D17" s="21">
        <v>72577.053</v>
      </c>
      <c r="E17" s="19">
        <f t="shared" si="0"/>
        <v>103.79531668225768</v>
      </c>
      <c r="F17" s="21">
        <v>11829.005999999999</v>
      </c>
      <c r="G17" s="21">
        <v>2720.1579999999999</v>
      </c>
      <c r="H17" s="21">
        <v>-1704.5250000000001</v>
      </c>
      <c r="I17" s="21">
        <v>5180.326</v>
      </c>
      <c r="J17" s="21">
        <v>36294.713000000003</v>
      </c>
      <c r="K17" s="17">
        <v>67.157799999999995</v>
      </c>
      <c r="L17" s="34">
        <f t="shared" si="1"/>
        <v>8.9149594654735917E-2</v>
      </c>
    </row>
    <row r="18" spans="1:12" x14ac:dyDescent="0.3">
      <c r="A18" s="25" t="s">
        <v>1256</v>
      </c>
      <c r="B18" s="23">
        <v>39</v>
      </c>
      <c r="C18" s="23">
        <v>93785.111000000004</v>
      </c>
      <c r="D18" s="23">
        <v>75044.717000000004</v>
      </c>
      <c r="E18" s="14">
        <f t="shared" si="0"/>
        <v>124.97230284711446</v>
      </c>
      <c r="F18" s="23">
        <v>13460.99</v>
      </c>
      <c r="G18" s="23">
        <v>3798.9560000000001</v>
      </c>
      <c r="H18" s="23">
        <v>-2387.5120000000002</v>
      </c>
      <c r="I18" s="23">
        <v>6093.4290000000001</v>
      </c>
      <c r="J18" s="23">
        <v>57487.091999999997</v>
      </c>
      <c r="K18" s="12">
        <v>157.7002</v>
      </c>
      <c r="L18" s="32">
        <f t="shared" si="1"/>
        <v>0.16815057136308126</v>
      </c>
    </row>
    <row r="19" spans="1:12" x14ac:dyDescent="0.3">
      <c r="A19" s="26" t="s">
        <v>1257</v>
      </c>
      <c r="B19" s="21">
        <v>38</v>
      </c>
      <c r="C19" s="21">
        <v>105136.08100000001</v>
      </c>
      <c r="D19" s="21">
        <v>87167.664000000004</v>
      </c>
      <c r="E19" s="19">
        <f t="shared" si="0"/>
        <v>120.61362686052939</v>
      </c>
      <c r="F19" s="21">
        <v>14394.472</v>
      </c>
      <c r="G19" s="21">
        <v>4121.9470000000001</v>
      </c>
      <c r="H19" s="21">
        <v>-2564.0810000000001</v>
      </c>
      <c r="I19" s="21">
        <v>5722.15</v>
      </c>
      <c r="J19" s="21">
        <v>68496.004000000001</v>
      </c>
      <c r="K19" s="17">
        <v>547.02099999999996</v>
      </c>
      <c r="L19" s="34">
        <f t="shared" si="1"/>
        <v>0.52029806969883141</v>
      </c>
    </row>
    <row r="20" spans="1:12" x14ac:dyDescent="0.3">
      <c r="A20" s="25" t="s">
        <v>1258</v>
      </c>
      <c r="B20" s="23">
        <v>39</v>
      </c>
      <c r="C20" s="23">
        <v>138721.87100000001</v>
      </c>
      <c r="D20" s="23">
        <v>105111.356</v>
      </c>
      <c r="E20" s="14">
        <f t="shared" si="0"/>
        <v>131.97610256307607</v>
      </c>
      <c r="F20" s="23">
        <v>18764.214</v>
      </c>
      <c r="G20" s="23">
        <v>5244.491</v>
      </c>
      <c r="H20" s="23">
        <v>-3177.0079999999998</v>
      </c>
      <c r="I20" s="23">
        <v>8517.8970000000008</v>
      </c>
      <c r="J20" s="23">
        <v>57852.868999999999</v>
      </c>
      <c r="K20" s="12">
        <v>1192.4954</v>
      </c>
      <c r="L20" s="32">
        <f t="shared" si="1"/>
        <v>0.85963041833540432</v>
      </c>
    </row>
    <row r="21" spans="1:12" x14ac:dyDescent="0.3">
      <c r="A21" s="26" t="s">
        <v>1259</v>
      </c>
      <c r="B21" s="21">
        <v>40</v>
      </c>
      <c r="C21" s="21">
        <v>139976.74</v>
      </c>
      <c r="D21" s="21">
        <v>110612.546</v>
      </c>
      <c r="E21" s="19">
        <f t="shared" si="0"/>
        <v>126.54689279098592</v>
      </c>
      <c r="F21" s="21">
        <v>16045.859</v>
      </c>
      <c r="G21" s="21">
        <v>4295.55</v>
      </c>
      <c r="H21" s="21">
        <v>-2511.0210000000002</v>
      </c>
      <c r="I21" s="21">
        <v>6925.9790000000003</v>
      </c>
      <c r="J21" s="21">
        <v>64401.347000000002</v>
      </c>
      <c r="K21" s="17">
        <v>1310.5164</v>
      </c>
      <c r="L21" s="34">
        <f t="shared" si="1"/>
        <v>0.93623869222843736</v>
      </c>
    </row>
    <row r="22" spans="1:12" x14ac:dyDescent="0.3">
      <c r="A22" s="25" t="s">
        <v>1260</v>
      </c>
      <c r="B22" s="23">
        <v>40</v>
      </c>
      <c r="C22" s="23">
        <v>107397.985</v>
      </c>
      <c r="D22" s="23">
        <v>130986.027</v>
      </c>
      <c r="E22" s="14">
        <f t="shared" si="0"/>
        <v>81.991940254818175</v>
      </c>
      <c r="F22" s="23">
        <v>13884.162</v>
      </c>
      <c r="G22" s="23">
        <v>3202.63</v>
      </c>
      <c r="H22" s="23">
        <v>-2252.9369999999999</v>
      </c>
      <c r="I22" s="23">
        <v>1149.03</v>
      </c>
      <c r="J22" s="23">
        <v>58903.478000000003</v>
      </c>
      <c r="K22" s="12">
        <v>1916.8116</v>
      </c>
      <c r="L22" s="32">
        <f t="shared" si="1"/>
        <v>1.7847742674129314</v>
      </c>
    </row>
    <row r="23" spans="1:12" x14ac:dyDescent="0.3">
      <c r="A23" s="26" t="s">
        <v>1261</v>
      </c>
      <c r="B23" s="21">
        <v>39</v>
      </c>
      <c r="C23" s="21">
        <v>115192.80899999999</v>
      </c>
      <c r="D23" s="21">
        <v>141116.36199999999</v>
      </c>
      <c r="E23" s="19">
        <f t="shared" si="0"/>
        <v>81.629661768066271</v>
      </c>
      <c r="F23" s="21">
        <v>11719.227000000001</v>
      </c>
      <c r="G23" s="21">
        <v>2500.3020000000001</v>
      </c>
      <c r="H23" s="21">
        <v>-1862.8440000000001</v>
      </c>
      <c r="I23" s="21">
        <v>2625.45</v>
      </c>
      <c r="J23" s="21">
        <v>48315.239000000001</v>
      </c>
      <c r="K23" s="17">
        <v>2463.893</v>
      </c>
      <c r="L23" s="34">
        <f t="shared" si="1"/>
        <v>2.1389295229357592</v>
      </c>
    </row>
    <row r="24" spans="1:12" x14ac:dyDescent="0.3">
      <c r="A24" s="25" t="s">
        <v>1262</v>
      </c>
      <c r="B24" s="23">
        <v>38</v>
      </c>
      <c r="C24" s="23">
        <v>83176.365999999995</v>
      </c>
      <c r="D24" s="23">
        <v>150674.33799999999</v>
      </c>
      <c r="E24" s="14">
        <f t="shared" si="0"/>
        <v>55.202741955965983</v>
      </c>
      <c r="F24" s="23">
        <v>12576.311</v>
      </c>
      <c r="G24" s="23">
        <v>2352.37</v>
      </c>
      <c r="H24" s="23">
        <v>-1811.66</v>
      </c>
      <c r="I24" s="23">
        <v>1186.8699999999999</v>
      </c>
      <c r="J24" s="23">
        <v>45376.175999999999</v>
      </c>
      <c r="K24" s="12">
        <v>2280.3766999999998</v>
      </c>
      <c r="L24" s="32">
        <f t="shared" si="1"/>
        <v>2.7416161701510258</v>
      </c>
    </row>
    <row r="25" spans="1:12" x14ac:dyDescent="0.3">
      <c r="A25" s="26" t="s">
        <v>1263</v>
      </c>
      <c r="B25" s="21">
        <v>40</v>
      </c>
      <c r="C25" s="21">
        <v>85727.873000000007</v>
      </c>
      <c r="D25" s="21">
        <v>153723.45300000001</v>
      </c>
      <c r="E25" s="19">
        <f t="shared" si="0"/>
        <v>55.767595202275352</v>
      </c>
      <c r="F25" s="21">
        <v>11154.129000000001</v>
      </c>
      <c r="G25" s="21">
        <v>1605.9</v>
      </c>
      <c r="H25" s="21">
        <v>-1409.671</v>
      </c>
      <c r="I25" s="21">
        <v>2901.2049999999999</v>
      </c>
      <c r="J25" s="21">
        <v>37799.156999999999</v>
      </c>
      <c r="K25" s="17">
        <v>2450.8962000000001</v>
      </c>
      <c r="L25" s="34">
        <f t="shared" si="1"/>
        <v>2.8589257078616659</v>
      </c>
    </row>
    <row r="26" spans="1:12" x14ac:dyDescent="0.3">
      <c r="A26" s="25" t="s">
        <v>1264</v>
      </c>
      <c r="B26" s="23">
        <v>40</v>
      </c>
      <c r="C26" s="23">
        <v>101907.667</v>
      </c>
      <c r="D26" s="23">
        <v>164943.23800000001</v>
      </c>
      <c r="E26" s="14">
        <f t="shared" si="0"/>
        <v>61.783476689114103</v>
      </c>
      <c r="F26" s="23">
        <v>13223.19</v>
      </c>
      <c r="G26" s="23">
        <v>2264.46</v>
      </c>
      <c r="H26" s="23">
        <v>-1712.8130000000001</v>
      </c>
      <c r="I26" s="23">
        <v>4931.1109999999999</v>
      </c>
      <c r="J26" s="23">
        <v>46300.480000000003</v>
      </c>
      <c r="K26" s="12">
        <v>2566.6390999999999</v>
      </c>
      <c r="L26" s="32">
        <f t="shared" si="1"/>
        <v>2.5185927374826469</v>
      </c>
    </row>
    <row r="27" spans="1:12" x14ac:dyDescent="0.3">
      <c r="A27" s="26" t="s">
        <v>1265</v>
      </c>
      <c r="B27" s="21">
        <v>40</v>
      </c>
      <c r="C27" s="21">
        <v>115758.432</v>
      </c>
      <c r="D27" s="21">
        <v>172665.133</v>
      </c>
      <c r="E27" s="19">
        <f t="shared" si="0"/>
        <v>67.042158418862712</v>
      </c>
      <c r="F27" s="21">
        <v>14534.605</v>
      </c>
      <c r="G27" s="21">
        <v>3386.7449999999999</v>
      </c>
      <c r="H27" s="21">
        <v>-2428.9430000000002</v>
      </c>
      <c r="I27" s="21">
        <v>5735.3829999999998</v>
      </c>
      <c r="J27" s="21">
        <v>51452.224000000002</v>
      </c>
      <c r="K27" s="17">
        <v>2236.6262999999999</v>
      </c>
      <c r="L27" s="34">
        <f t="shared" si="1"/>
        <v>1.932149789312972</v>
      </c>
    </row>
    <row r="28" spans="1:12" x14ac:dyDescent="0.3">
      <c r="A28" s="25" t="s">
        <v>1266</v>
      </c>
      <c r="B28" s="23">
        <v>40</v>
      </c>
      <c r="C28" s="23">
        <v>129784.776</v>
      </c>
      <c r="D28" s="23">
        <v>175286.91099999999</v>
      </c>
      <c r="E28" s="14">
        <f t="shared" si="0"/>
        <v>74.041339002203074</v>
      </c>
      <c r="F28" s="23">
        <v>13670.716</v>
      </c>
      <c r="G28" s="23">
        <v>2668.0569999999998</v>
      </c>
      <c r="H28" s="23">
        <v>-2319.3710000000001</v>
      </c>
      <c r="I28" s="23">
        <v>4779.3860000000004</v>
      </c>
      <c r="J28" s="23">
        <v>51348.555</v>
      </c>
      <c r="K28" s="12">
        <v>2483.0686000000001</v>
      </c>
      <c r="L28" s="32">
        <f t="shared" si="1"/>
        <v>1.9132202377881362</v>
      </c>
    </row>
    <row r="29" spans="1:12" x14ac:dyDescent="0.3">
      <c r="A29" s="26" t="s">
        <v>196</v>
      </c>
      <c r="B29" s="21">
        <v>39</v>
      </c>
      <c r="C29" s="21">
        <v>147843.641</v>
      </c>
      <c r="D29" s="21">
        <v>183059.516</v>
      </c>
      <c r="E29" s="19">
        <f t="shared" si="0"/>
        <v>80.762608921133605</v>
      </c>
      <c r="F29" s="21">
        <v>14195.932000000001</v>
      </c>
      <c r="G29" s="21">
        <v>3122.2840000000001</v>
      </c>
      <c r="H29" s="21">
        <v>-2319.558</v>
      </c>
      <c r="I29" s="21">
        <v>6482.6220000000003</v>
      </c>
      <c r="J29" s="21">
        <v>72145.058999999994</v>
      </c>
      <c r="K29" s="17">
        <v>3408.8220000000001</v>
      </c>
      <c r="L29" s="34">
        <f t="shared" si="1"/>
        <v>2.3056940271107096</v>
      </c>
    </row>
    <row r="30" spans="1:12" x14ac:dyDescent="0.3">
      <c r="A30" s="25" t="s">
        <v>197</v>
      </c>
      <c r="B30" s="23">
        <v>41</v>
      </c>
      <c r="C30" s="23">
        <v>161218.033</v>
      </c>
      <c r="D30" s="23">
        <v>192874.21400000001</v>
      </c>
      <c r="E30" s="14">
        <f t="shared" si="0"/>
        <v>83.587136743950637</v>
      </c>
      <c r="F30" s="23">
        <v>16177.419</v>
      </c>
      <c r="G30" s="23">
        <v>3193.605</v>
      </c>
      <c r="H30" s="23">
        <v>-2411.9490000000001</v>
      </c>
      <c r="I30" s="23">
        <v>6795.5929999999998</v>
      </c>
      <c r="J30" s="23">
        <v>67066.09</v>
      </c>
      <c r="K30" s="12">
        <v>3597.6709999999998</v>
      </c>
      <c r="L30" s="32">
        <f t="shared" si="1"/>
        <v>2.2315561932206429</v>
      </c>
    </row>
    <row r="31" spans="1:12" x14ac:dyDescent="0.3">
      <c r="A31" s="26" t="s">
        <v>183</v>
      </c>
      <c r="B31" s="21">
        <v>41</v>
      </c>
      <c r="C31" s="21">
        <v>165433.886</v>
      </c>
      <c r="D31" s="21">
        <v>203732.617</v>
      </c>
      <c r="E31" s="19">
        <f t="shared" si="0"/>
        <v>81.201473007142496</v>
      </c>
      <c r="F31" s="21">
        <v>14454.861000000001</v>
      </c>
      <c r="G31" s="21">
        <v>2467.299</v>
      </c>
      <c r="H31" s="21">
        <v>-2019.289</v>
      </c>
      <c r="I31" s="21">
        <v>5871.085</v>
      </c>
      <c r="J31" s="21">
        <v>65139.821000000004</v>
      </c>
      <c r="K31" s="17">
        <v>4102.4592000000002</v>
      </c>
      <c r="L31" s="34">
        <f t="shared" si="1"/>
        <v>2.4798179497518427</v>
      </c>
    </row>
    <row r="32" spans="1:12" x14ac:dyDescent="0.3">
      <c r="A32" s="25" t="s">
        <v>184</v>
      </c>
      <c r="B32" s="23">
        <v>40</v>
      </c>
      <c r="C32" s="23">
        <v>175974.56599999999</v>
      </c>
      <c r="D32" s="23">
        <v>215114.98</v>
      </c>
      <c r="E32" s="14">
        <f t="shared" si="0"/>
        <v>81.804886856322128</v>
      </c>
      <c r="F32" s="23">
        <v>14796.495000000001</v>
      </c>
      <c r="G32" s="23">
        <v>2328.1619999999998</v>
      </c>
      <c r="H32" s="23">
        <v>-2032.0139999999999</v>
      </c>
      <c r="I32" s="23">
        <v>5130.18</v>
      </c>
      <c r="J32" s="23">
        <v>55262.124000000003</v>
      </c>
      <c r="K32" s="12">
        <v>3881.5855000000001</v>
      </c>
      <c r="L32" s="32">
        <f t="shared" si="1"/>
        <v>2.2057650649355773</v>
      </c>
    </row>
    <row r="33" spans="1:12" x14ac:dyDescent="0.3">
      <c r="A33" s="26" t="s">
        <v>185</v>
      </c>
      <c r="B33" s="21">
        <v>40</v>
      </c>
      <c r="C33" s="21">
        <v>200639.394</v>
      </c>
      <c r="D33" s="21">
        <v>220029.36499999999</v>
      </c>
      <c r="E33" s="19">
        <f t="shared" si="0"/>
        <v>91.187553079562804</v>
      </c>
      <c r="F33" s="21">
        <v>15250.882</v>
      </c>
      <c r="G33" s="21">
        <v>2167.4119999999998</v>
      </c>
      <c r="H33" s="21">
        <v>-1797.2829999999999</v>
      </c>
      <c r="I33" s="21">
        <v>6754.4870000000001</v>
      </c>
      <c r="J33" s="21">
        <v>59149.099000000002</v>
      </c>
      <c r="K33" s="17">
        <v>4275.7030999999997</v>
      </c>
      <c r="L33" s="34">
        <f t="shared" si="1"/>
        <v>2.1310386832607757</v>
      </c>
    </row>
    <row r="34" spans="1:12" x14ac:dyDescent="0.3">
      <c r="A34" s="25" t="s">
        <v>186</v>
      </c>
      <c r="B34" s="23">
        <v>40</v>
      </c>
      <c r="C34" s="23">
        <v>219946.61</v>
      </c>
      <c r="D34" s="23">
        <v>225869.33300000001</v>
      </c>
      <c r="E34" s="14">
        <f t="shared" si="0"/>
        <v>97.377810027888984</v>
      </c>
      <c r="F34" s="23">
        <v>20559.332999999999</v>
      </c>
      <c r="G34" s="23">
        <v>3076.1329999999998</v>
      </c>
      <c r="H34" s="23">
        <v>-2393.3200000000002</v>
      </c>
      <c r="I34" s="23">
        <v>8748.8109999999997</v>
      </c>
      <c r="J34" s="23">
        <v>82122.316000000006</v>
      </c>
      <c r="K34" s="12">
        <v>5052.6166999999996</v>
      </c>
      <c r="L34" s="32">
        <f t="shared" si="1"/>
        <v>2.2972014435685093</v>
      </c>
    </row>
    <row r="35" spans="1:12" x14ac:dyDescent="0.3">
      <c r="A35" s="26" t="s">
        <v>187</v>
      </c>
      <c r="B35" s="21">
        <v>40</v>
      </c>
      <c r="C35" s="21">
        <v>280472.52100000001</v>
      </c>
      <c r="D35" s="21">
        <v>250698.033</v>
      </c>
      <c r="E35" s="19">
        <f t="shared" si="0"/>
        <v>111.87663406996097</v>
      </c>
      <c r="F35" s="21">
        <v>30387.343000000001</v>
      </c>
      <c r="G35" s="21">
        <v>5856.5540000000001</v>
      </c>
      <c r="H35" s="21">
        <v>-4067.8490000000002</v>
      </c>
      <c r="I35" s="21">
        <v>16578.278999999999</v>
      </c>
      <c r="J35" s="21">
        <v>95029.59</v>
      </c>
      <c r="K35" s="17">
        <v>5750.067</v>
      </c>
      <c r="L35" s="34">
        <f t="shared" si="1"/>
        <v>2.0501355995584323</v>
      </c>
    </row>
    <row r="36" spans="1:12" x14ac:dyDescent="0.3">
      <c r="A36" s="25" t="s">
        <v>188</v>
      </c>
      <c r="B36" s="23">
        <v>42</v>
      </c>
      <c r="C36" s="23">
        <v>315744.69500000001</v>
      </c>
      <c r="D36" s="23">
        <v>316649.41899999999</v>
      </c>
      <c r="E36" s="14">
        <f t="shared" si="0"/>
        <v>99.714282122210378</v>
      </c>
      <c r="F36" s="23">
        <v>27088.501</v>
      </c>
      <c r="G36" s="23">
        <v>3996.38</v>
      </c>
      <c r="H36" s="23">
        <v>-3291.35</v>
      </c>
      <c r="I36" s="23">
        <v>10079.143</v>
      </c>
      <c r="J36" s="23">
        <v>66758.524999999994</v>
      </c>
      <c r="K36" s="12">
        <v>5832.1911</v>
      </c>
      <c r="L36" s="32">
        <f t="shared" si="1"/>
        <v>1.8471224354220741</v>
      </c>
    </row>
    <row r="37" spans="1:12" x14ac:dyDescent="0.3">
      <c r="A37" s="26" t="s">
        <v>67</v>
      </c>
      <c r="B37" s="21">
        <v>41</v>
      </c>
      <c r="C37" s="21">
        <v>321726.69199999998</v>
      </c>
      <c r="D37" s="21">
        <v>331712.641</v>
      </c>
      <c r="E37" s="19">
        <f t="shared" si="0"/>
        <v>96.989578398370398</v>
      </c>
      <c r="F37" s="21">
        <v>25664.716</v>
      </c>
      <c r="G37" s="21">
        <v>4086.7959999999998</v>
      </c>
      <c r="H37" s="21">
        <v>-3030.904</v>
      </c>
      <c r="I37" s="21">
        <v>8068.5609999999997</v>
      </c>
      <c r="J37" s="21">
        <v>81590.231</v>
      </c>
      <c r="K37" s="17">
        <v>5909.5481</v>
      </c>
      <c r="L37" s="34">
        <f t="shared" si="1"/>
        <v>1.8368224480423281</v>
      </c>
    </row>
    <row r="38" spans="1:12" x14ac:dyDescent="0.3">
      <c r="A38" s="25" t="s">
        <v>68</v>
      </c>
      <c r="B38" s="23">
        <v>42</v>
      </c>
      <c r="C38" s="23">
        <v>345308.54800000001</v>
      </c>
      <c r="D38" s="23">
        <v>358333.73200000002</v>
      </c>
      <c r="E38" s="14">
        <f t="shared" si="0"/>
        <v>96.365068974304663</v>
      </c>
      <c r="F38" s="23">
        <v>28242.655999999999</v>
      </c>
      <c r="G38" s="23">
        <v>2945.4180000000001</v>
      </c>
      <c r="H38" s="23">
        <v>-2537.9369999999999</v>
      </c>
      <c r="I38" s="23">
        <v>11870.741</v>
      </c>
      <c r="J38" s="23">
        <v>56376.847000000002</v>
      </c>
      <c r="K38" s="12">
        <v>6303.0648000000001</v>
      </c>
      <c r="L38" s="32">
        <f t="shared" si="1"/>
        <v>1.8253428235434239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6"/>
  <sheetViews>
    <sheetView showGridLines="0" workbookViewId="0"/>
  </sheetViews>
  <sheetFormatPr defaultRowHeight="14" x14ac:dyDescent="0.3"/>
  <cols>
    <col min="1" max="1" width="42" customWidth="1"/>
    <col min="2" max="3" width="20" customWidth="1"/>
    <col min="4" max="4" width="22" customWidth="1"/>
    <col min="5" max="5" width="18" customWidth="1"/>
    <col min="6" max="6" width="44" customWidth="1"/>
  </cols>
  <sheetData>
    <row r="1" spans="1:6" ht="18" x14ac:dyDescent="0.4">
      <c r="A1" s="1" t="s">
        <v>1308</v>
      </c>
    </row>
    <row r="2" spans="1:6" x14ac:dyDescent="0.3">
      <c r="A2" s="8" t="s">
        <v>1309</v>
      </c>
    </row>
    <row r="4" spans="1:6" ht="30" customHeight="1" x14ac:dyDescent="0.3">
      <c r="A4" s="9" t="s">
        <v>153</v>
      </c>
      <c r="B4" s="10" t="s">
        <v>1211</v>
      </c>
      <c r="C4" s="10" t="s">
        <v>1310</v>
      </c>
      <c r="D4" s="10" t="s">
        <v>123</v>
      </c>
      <c r="E4" s="10" t="s">
        <v>1311</v>
      </c>
      <c r="F4" s="10" t="s">
        <v>1224</v>
      </c>
    </row>
    <row r="5" spans="1:6" ht="34.5" x14ac:dyDescent="0.3">
      <c r="A5" s="16" t="s">
        <v>1312</v>
      </c>
      <c r="B5" s="21">
        <v>1700000</v>
      </c>
      <c r="C5" s="21">
        <v>13887603</v>
      </c>
      <c r="D5" s="26" t="s">
        <v>126</v>
      </c>
      <c r="E5" s="34">
        <f t="shared" ref="E5:E10" si="0">IF(B5="","",B5/C5*100)</f>
        <v>12.241133333088511</v>
      </c>
      <c r="F5" s="20" t="s">
        <v>1313</v>
      </c>
    </row>
    <row r="6" spans="1:6" x14ac:dyDescent="0.3">
      <c r="A6" s="11" t="s">
        <v>1314</v>
      </c>
      <c r="B6" s="12">
        <v>25.38</v>
      </c>
      <c r="C6" s="12">
        <v>100</v>
      </c>
      <c r="D6" s="25" t="s">
        <v>1315</v>
      </c>
      <c r="E6" s="32">
        <f t="shared" si="0"/>
        <v>25.379999999999995</v>
      </c>
      <c r="F6" s="15" t="s">
        <v>1316</v>
      </c>
    </row>
    <row r="7" spans="1:6" x14ac:dyDescent="0.3">
      <c r="A7" s="16" t="s">
        <v>1317</v>
      </c>
      <c r="B7" s="17">
        <v>2.88</v>
      </c>
      <c r="C7" s="17">
        <v>100</v>
      </c>
      <c r="D7" s="26" t="s">
        <v>1315</v>
      </c>
      <c r="E7" s="34">
        <f t="shared" si="0"/>
        <v>2.88</v>
      </c>
      <c r="F7" s="20" t="s">
        <v>1318</v>
      </c>
    </row>
    <row r="8" spans="1:6" ht="23" x14ac:dyDescent="0.3">
      <c r="A8" s="11" t="s">
        <v>1319</v>
      </c>
      <c r="B8" s="12"/>
      <c r="C8" s="12">
        <v>100</v>
      </c>
      <c r="D8" s="25" t="s">
        <v>1315</v>
      </c>
      <c r="E8" s="32" t="str">
        <f t="shared" si="0"/>
        <v/>
      </c>
      <c r="F8" s="15" t="s">
        <v>1320</v>
      </c>
    </row>
    <row r="9" spans="1:6" ht="23" x14ac:dyDescent="0.3">
      <c r="A9" s="16" t="s">
        <v>1321</v>
      </c>
      <c r="B9" s="17">
        <v>6303.1</v>
      </c>
      <c r="C9" s="17">
        <v>453800</v>
      </c>
      <c r="D9" s="26" t="s">
        <v>144</v>
      </c>
      <c r="E9" s="34">
        <f t="shared" si="0"/>
        <v>1.3889598942265315</v>
      </c>
      <c r="F9" s="20" t="s">
        <v>1322</v>
      </c>
    </row>
    <row r="10" spans="1:6" ht="23" x14ac:dyDescent="0.3">
      <c r="A10" s="11" t="s">
        <v>1323</v>
      </c>
      <c r="B10" s="12">
        <v>97.4</v>
      </c>
      <c r="C10" s="41">
        <f>'Industry cross-section'!D16</f>
        <v>9519.4</v>
      </c>
      <c r="D10" s="25" t="s">
        <v>144</v>
      </c>
      <c r="E10" s="32">
        <f t="shared" si="0"/>
        <v>1.0231737294367294</v>
      </c>
      <c r="F10" s="15" t="s">
        <v>1324</v>
      </c>
    </row>
    <row r="12" spans="1:6" x14ac:dyDescent="0.3">
      <c r="A12" s="5" t="s">
        <v>1325</v>
      </c>
    </row>
    <row r="13" spans="1:6" ht="30" customHeight="1" x14ac:dyDescent="0.3">
      <c r="A13" s="9" t="s">
        <v>107</v>
      </c>
      <c r="B13" s="10" t="s">
        <v>122</v>
      </c>
      <c r="C13" s="10"/>
      <c r="D13" s="10"/>
      <c r="E13" s="10"/>
      <c r="F13" s="10" t="s">
        <v>1326</v>
      </c>
    </row>
    <row r="14" spans="1:6" ht="23" x14ac:dyDescent="0.3">
      <c r="A14" s="11" t="s">
        <v>1327</v>
      </c>
      <c r="B14" s="42">
        <f>E7/E5</f>
        <v>0.23527233317647056</v>
      </c>
      <c r="C14" s="25"/>
      <c r="D14" s="25"/>
      <c r="E14" s="25"/>
      <c r="F14" s="15" t="s">
        <v>1328</v>
      </c>
    </row>
    <row r="15" spans="1:6" ht="23" x14ac:dyDescent="0.3">
      <c r="A15" s="11" t="s">
        <v>1329</v>
      </c>
      <c r="B15" s="42">
        <f>E9/E5</f>
        <v>0.11346660937611801</v>
      </c>
      <c r="C15" s="25"/>
      <c r="D15" s="25"/>
      <c r="E15" s="25"/>
      <c r="F15" s="15" t="s">
        <v>1330</v>
      </c>
    </row>
    <row r="16" spans="1:6" ht="23" x14ac:dyDescent="0.3">
      <c r="A16" s="11" t="s">
        <v>1331</v>
      </c>
      <c r="B16" s="42">
        <f>E6/E5</f>
        <v>2.0733374361176464</v>
      </c>
      <c r="C16" s="25"/>
      <c r="D16" s="25"/>
      <c r="E16" s="25"/>
      <c r="F16" s="15" t="s">
        <v>1332</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57"/>
  <sheetViews>
    <sheetView showGridLines="0" workbookViewId="0"/>
  </sheetViews>
  <sheetFormatPr defaultRowHeight="14" x14ac:dyDescent="0.3"/>
  <cols>
    <col min="1" max="1" width="44" customWidth="1"/>
    <col min="2" max="10" width="12" customWidth="1"/>
    <col min="11" max="11" width="40" customWidth="1"/>
  </cols>
  <sheetData>
    <row r="1" spans="1:11" ht="18" x14ac:dyDescent="0.4">
      <c r="A1" s="1" t="s">
        <v>1333</v>
      </c>
    </row>
    <row r="2" spans="1:11" x14ac:dyDescent="0.3">
      <c r="A2" s="8" t="s">
        <v>1334</v>
      </c>
    </row>
    <row r="4" spans="1:11" x14ac:dyDescent="0.3">
      <c r="A4" s="5" t="s">
        <v>1335</v>
      </c>
    </row>
    <row r="5" spans="1:11" ht="30" customHeight="1" x14ac:dyDescent="0.3">
      <c r="A5" s="9" t="s">
        <v>1336</v>
      </c>
      <c r="B5" s="10" t="s">
        <v>1337</v>
      </c>
      <c r="C5" s="10" t="s">
        <v>1338</v>
      </c>
      <c r="D5" s="10" t="s">
        <v>1339</v>
      </c>
      <c r="E5" s="10" t="s">
        <v>1340</v>
      </c>
      <c r="F5" s="10" t="s">
        <v>1341</v>
      </c>
      <c r="G5" s="10" t="s">
        <v>1342</v>
      </c>
      <c r="H5" s="10" t="s">
        <v>1343</v>
      </c>
      <c r="I5" s="10" t="s">
        <v>1344</v>
      </c>
      <c r="J5" s="10" t="s">
        <v>1345</v>
      </c>
      <c r="K5" s="10" t="s">
        <v>71</v>
      </c>
    </row>
    <row r="6" spans="1:11" x14ac:dyDescent="0.3">
      <c r="A6" s="26" t="s">
        <v>1346</v>
      </c>
      <c r="B6" s="43">
        <v>892.54</v>
      </c>
      <c r="C6" s="43">
        <v>960.99</v>
      </c>
      <c r="D6" s="43">
        <v>1103.8699999999999</v>
      </c>
      <c r="E6" s="43">
        <v>1498.28</v>
      </c>
      <c r="F6" s="43">
        <v>1007.09</v>
      </c>
      <c r="G6" s="43">
        <v>1129.93</v>
      </c>
      <c r="H6" s="43">
        <v>1266.78</v>
      </c>
      <c r="I6" s="43">
        <v>1784.49</v>
      </c>
      <c r="J6" s="43">
        <v>1775.09</v>
      </c>
      <c r="K6" s="20"/>
    </row>
    <row r="7" spans="1:11" x14ac:dyDescent="0.3">
      <c r="A7" s="25" t="s">
        <v>1347</v>
      </c>
      <c r="B7" s="44"/>
      <c r="C7" s="44">
        <v>7.67</v>
      </c>
      <c r="D7" s="44">
        <v>14.87</v>
      </c>
      <c r="E7" s="44">
        <v>35.729999999999997</v>
      </c>
      <c r="F7" s="44">
        <v>-32.78</v>
      </c>
      <c r="G7" s="44">
        <v>12.2</v>
      </c>
      <c r="H7" s="44">
        <v>12.11</v>
      </c>
      <c r="I7" s="44">
        <v>40.869999999999997</v>
      </c>
      <c r="J7" s="44">
        <v>-0.53</v>
      </c>
      <c r="K7" s="15"/>
    </row>
    <row r="8" spans="1:11" x14ac:dyDescent="0.3">
      <c r="A8" s="26" t="s">
        <v>1348</v>
      </c>
      <c r="B8" s="21">
        <v>4260.1000000000004</v>
      </c>
      <c r="C8" s="21">
        <v>2936.4</v>
      </c>
      <c r="D8" s="21">
        <v>5224.7</v>
      </c>
      <c r="E8" s="21">
        <v>20084.099999999999</v>
      </c>
      <c r="F8" s="21">
        <v>15588.1</v>
      </c>
      <c r="G8" s="21">
        <v>13548.9</v>
      </c>
      <c r="H8" s="21">
        <v>16410.099999999999</v>
      </c>
      <c r="I8" s="21">
        <v>25150.9</v>
      </c>
      <c r="J8" s="21">
        <v>23563.5</v>
      </c>
      <c r="K8" s="20" t="s">
        <v>1349</v>
      </c>
    </row>
    <row r="9" spans="1:11" x14ac:dyDescent="0.3">
      <c r="A9" s="25" t="s">
        <v>1350</v>
      </c>
      <c r="B9" s="45">
        <v>104.23</v>
      </c>
      <c r="C9" s="45">
        <v>102.51</v>
      </c>
      <c r="D9" s="45">
        <v>203.12</v>
      </c>
      <c r="E9" s="45">
        <v>473.99</v>
      </c>
      <c r="F9" s="45">
        <v>205.31</v>
      </c>
      <c r="G9" s="45">
        <v>231.04</v>
      </c>
      <c r="H9" s="45">
        <v>227.43</v>
      </c>
      <c r="I9" s="45">
        <v>248.77</v>
      </c>
      <c r="J9" s="45">
        <v>272.77</v>
      </c>
      <c r="K9" s="15"/>
    </row>
    <row r="10" spans="1:11" x14ac:dyDescent="0.3">
      <c r="A10" s="26" t="s">
        <v>1351</v>
      </c>
      <c r="B10" s="21">
        <v>709.9</v>
      </c>
      <c r="C10" s="21">
        <v>316.8</v>
      </c>
      <c r="D10" s="21">
        <v>597.5</v>
      </c>
      <c r="E10" s="21">
        <v>2903</v>
      </c>
      <c r="F10" s="21">
        <v>1760.7</v>
      </c>
      <c r="G10" s="21">
        <v>1532.7</v>
      </c>
      <c r="H10" s="21">
        <v>1306.3</v>
      </c>
      <c r="I10" s="21">
        <v>1825.1</v>
      </c>
      <c r="J10" s="21">
        <v>1368.4</v>
      </c>
      <c r="K10" s="20"/>
    </row>
    <row r="11" spans="1:11" x14ac:dyDescent="0.3">
      <c r="A11" s="25" t="s">
        <v>1352</v>
      </c>
      <c r="B11" s="45">
        <v>52.83</v>
      </c>
      <c r="C11" s="45">
        <v>56.56</v>
      </c>
      <c r="D11" s="45">
        <v>74.45</v>
      </c>
      <c r="E11" s="45">
        <v>112.68</v>
      </c>
      <c r="F11" s="45">
        <v>71.650000000000006</v>
      </c>
      <c r="G11" s="45">
        <v>87.04</v>
      </c>
      <c r="H11" s="45">
        <v>95.06</v>
      </c>
      <c r="I11" s="45">
        <v>121.37</v>
      </c>
      <c r="J11" s="45">
        <v>125.7</v>
      </c>
      <c r="K11" s="15"/>
    </row>
    <row r="12" spans="1:11" x14ac:dyDescent="0.3">
      <c r="A12" s="26" t="s">
        <v>1353</v>
      </c>
      <c r="B12" s="21">
        <v>269.60000000000002</v>
      </c>
      <c r="C12" s="21">
        <v>203.7</v>
      </c>
      <c r="D12" s="21">
        <v>310.10000000000002</v>
      </c>
      <c r="E12" s="21">
        <v>1505.4</v>
      </c>
      <c r="F12" s="21">
        <v>952.6</v>
      </c>
      <c r="G12" s="21">
        <v>587.70000000000005</v>
      </c>
      <c r="H12" s="21">
        <v>742.9</v>
      </c>
      <c r="I12" s="21">
        <v>774.1</v>
      </c>
      <c r="J12" s="21">
        <v>625.1</v>
      </c>
      <c r="K12" s="20"/>
    </row>
    <row r="13" spans="1:11" ht="23" x14ac:dyDescent="0.3">
      <c r="A13" s="25" t="s">
        <v>1354</v>
      </c>
      <c r="B13" s="23">
        <v>7135.5</v>
      </c>
      <c r="C13" s="23">
        <v>7508.9</v>
      </c>
      <c r="D13" s="23">
        <v>12564.3</v>
      </c>
      <c r="E13" s="23">
        <v>25510.799999999999</v>
      </c>
      <c r="F13" s="23">
        <v>31901.200000000001</v>
      </c>
      <c r="G13" s="23">
        <v>25416</v>
      </c>
      <c r="H13" s="23">
        <v>26442.5</v>
      </c>
      <c r="I13" s="23">
        <v>39552.1</v>
      </c>
      <c r="J13" s="23">
        <v>44995.1</v>
      </c>
      <c r="K13" s="15" t="s">
        <v>1355</v>
      </c>
    </row>
    <row r="14" spans="1:11" x14ac:dyDescent="0.3">
      <c r="A14" s="26" t="s">
        <v>1356</v>
      </c>
      <c r="B14" s="21"/>
      <c r="C14" s="21"/>
      <c r="D14" s="21"/>
      <c r="E14" s="21"/>
      <c r="F14" s="21"/>
      <c r="G14" s="21"/>
      <c r="H14" s="21">
        <v>23759.18</v>
      </c>
      <c r="I14" s="21">
        <v>23400.55</v>
      </c>
      <c r="J14" s="21">
        <v>22000</v>
      </c>
      <c r="K14" s="20" t="s">
        <v>1357</v>
      </c>
    </row>
    <row r="16" spans="1:11" x14ac:dyDescent="0.3">
      <c r="A16" s="5" t="s">
        <v>1358</v>
      </c>
    </row>
    <row r="17" spans="1:11" ht="30" customHeight="1" x14ac:dyDescent="0.3">
      <c r="A17" s="9" t="s">
        <v>1336</v>
      </c>
      <c r="B17" s="10" t="s">
        <v>1337</v>
      </c>
      <c r="C17" s="10" t="s">
        <v>1338</v>
      </c>
      <c r="D17" s="10" t="s">
        <v>1339</v>
      </c>
      <c r="E17" s="10" t="s">
        <v>1340</v>
      </c>
      <c r="F17" s="10" t="s">
        <v>1341</v>
      </c>
      <c r="G17" s="10" t="s">
        <v>1342</v>
      </c>
      <c r="H17" s="10" t="s">
        <v>1343</v>
      </c>
      <c r="I17" s="10" t="s">
        <v>1344</v>
      </c>
      <c r="J17" s="10" t="s">
        <v>1345</v>
      </c>
      <c r="K17" s="10" t="s">
        <v>71</v>
      </c>
    </row>
    <row r="18" spans="1:11" ht="23" x14ac:dyDescent="0.3">
      <c r="A18" s="26" t="s">
        <v>1359</v>
      </c>
      <c r="B18" s="21">
        <v>2182327</v>
      </c>
      <c r="C18" s="21">
        <v>2374894</v>
      </c>
      <c r="D18" s="21">
        <v>2771409</v>
      </c>
      <c r="E18" s="21">
        <v>4310211</v>
      </c>
      <c r="F18" s="21">
        <v>6897071</v>
      </c>
      <c r="G18" s="21">
        <v>7292361</v>
      </c>
      <c r="H18" s="21">
        <v>9297988</v>
      </c>
      <c r="I18" s="21">
        <v>11871933</v>
      </c>
      <c r="J18" s="21">
        <v>13887603</v>
      </c>
      <c r="K18" s="20" t="s">
        <v>1360</v>
      </c>
    </row>
    <row r="19" spans="1:11" x14ac:dyDescent="0.3">
      <c r="A19" s="25" t="s">
        <v>1361</v>
      </c>
      <c r="B19" s="23">
        <v>2154033</v>
      </c>
      <c r="C19" s="23">
        <v>2342679</v>
      </c>
      <c r="D19" s="23">
        <v>2736338</v>
      </c>
      <c r="E19" s="23">
        <v>4270701</v>
      </c>
      <c r="F19" s="23">
        <v>6854360</v>
      </c>
      <c r="G19" s="23">
        <v>7246977</v>
      </c>
      <c r="H19" s="23">
        <v>9250208</v>
      </c>
      <c r="I19" s="23">
        <v>11821745</v>
      </c>
      <c r="J19" s="23"/>
      <c r="K19" s="15" t="s">
        <v>1362</v>
      </c>
    </row>
    <row r="20" spans="1:11" x14ac:dyDescent="0.3">
      <c r="A20" s="26" t="s">
        <v>1363</v>
      </c>
      <c r="B20" s="21">
        <v>28294</v>
      </c>
      <c r="C20" s="21">
        <v>32215</v>
      </c>
      <c r="D20" s="21">
        <v>35071</v>
      </c>
      <c r="E20" s="21">
        <v>39510</v>
      </c>
      <c r="F20" s="21">
        <v>42711</v>
      </c>
      <c r="G20" s="21">
        <v>45384</v>
      </c>
      <c r="H20" s="21">
        <v>47780</v>
      </c>
      <c r="I20" s="21">
        <v>50188</v>
      </c>
      <c r="J20" s="21"/>
      <c r="K20" s="20" t="s">
        <v>1362</v>
      </c>
    </row>
    <row r="21" spans="1:11" x14ac:dyDescent="0.3">
      <c r="A21" s="25" t="s">
        <v>1364</v>
      </c>
      <c r="B21" s="23">
        <v>276547</v>
      </c>
      <c r="C21" s="23">
        <v>213596</v>
      </c>
      <c r="D21" s="23">
        <v>401783</v>
      </c>
      <c r="E21" s="23"/>
      <c r="F21" s="23">
        <v>2608645</v>
      </c>
      <c r="G21" s="23">
        <v>1539304</v>
      </c>
      <c r="H21" s="23">
        <v>2134838</v>
      </c>
      <c r="I21" s="23">
        <v>2681838</v>
      </c>
      <c r="J21" s="23"/>
      <c r="K21" s="15" t="s">
        <v>1362</v>
      </c>
    </row>
    <row r="22" spans="1:11" x14ac:dyDescent="0.3">
      <c r="A22" s="25" t="s">
        <v>1365</v>
      </c>
      <c r="B22" s="25"/>
      <c r="C22" s="14">
        <f t="shared" ref="C22:J22" si="0">IF(OR(C18="",B18=""),"",(C18/B18-1)*100)</f>
        <v>8.8239296860644689</v>
      </c>
      <c r="D22" s="14">
        <f t="shared" si="0"/>
        <v>16.696113594964658</v>
      </c>
      <c r="E22" s="14">
        <f t="shared" si="0"/>
        <v>55.524175608869001</v>
      </c>
      <c r="F22" s="14">
        <f t="shared" si="0"/>
        <v>60.017015408294405</v>
      </c>
      <c r="G22" s="14">
        <f t="shared" si="0"/>
        <v>5.7312734637645413</v>
      </c>
      <c r="H22" s="14">
        <f t="shared" si="0"/>
        <v>27.503122788353451</v>
      </c>
      <c r="I22" s="14">
        <f t="shared" si="0"/>
        <v>27.682816970725277</v>
      </c>
      <c r="J22" s="14">
        <f t="shared" si="0"/>
        <v>16.978448244274968</v>
      </c>
      <c r="K22" s="36" t="s">
        <v>1366</v>
      </c>
    </row>
    <row r="23" spans="1:11" ht="23" x14ac:dyDescent="0.3">
      <c r="A23" s="25" t="s">
        <v>1367</v>
      </c>
      <c r="B23" s="23"/>
      <c r="C23" s="23"/>
      <c r="D23" s="23">
        <v>5548</v>
      </c>
      <c r="E23" s="23">
        <v>44727</v>
      </c>
      <c r="F23" s="23">
        <v>189845</v>
      </c>
      <c r="G23" s="23">
        <v>561279</v>
      </c>
      <c r="H23" s="23">
        <v>994811</v>
      </c>
      <c r="I23" s="23">
        <v>1512920</v>
      </c>
      <c r="J23" s="23">
        <v>1700000</v>
      </c>
      <c r="K23" s="15" t="s">
        <v>1368</v>
      </c>
    </row>
    <row r="24" spans="1:11" ht="23" x14ac:dyDescent="0.3">
      <c r="A24" s="11" t="s">
        <v>1369</v>
      </c>
      <c r="B24" s="32" t="str">
        <f t="shared" ref="B24:J24" si="1">IF(OR(B23="",B18=""),"",B23/B18*100)</f>
        <v/>
      </c>
      <c r="C24" s="32" t="str">
        <f t="shared" si="1"/>
        <v/>
      </c>
      <c r="D24" s="32">
        <f t="shared" si="1"/>
        <v>0.20018698070187405</v>
      </c>
      <c r="E24" s="32">
        <f t="shared" si="1"/>
        <v>1.0376986184667063</v>
      </c>
      <c r="F24" s="32">
        <f t="shared" si="1"/>
        <v>2.7525452471056191</v>
      </c>
      <c r="G24" s="32">
        <f t="shared" si="1"/>
        <v>7.6968076594123636</v>
      </c>
      <c r="H24" s="32">
        <f t="shared" si="1"/>
        <v>10.69920718331751</v>
      </c>
      <c r="I24" s="32">
        <f t="shared" si="1"/>
        <v>12.743670302047693</v>
      </c>
      <c r="J24" s="32">
        <f t="shared" si="1"/>
        <v>12.241133333088511</v>
      </c>
      <c r="K24" s="15" t="s">
        <v>1370</v>
      </c>
    </row>
    <row r="25" spans="1:11" ht="23" x14ac:dyDescent="0.3">
      <c r="A25" s="25" t="s">
        <v>1371</v>
      </c>
      <c r="B25" s="14"/>
      <c r="C25" s="14" t="str">
        <f t="shared" ref="C25:J25" si="2">IF(OR(C21="",C23="",B23=""),"",(C23-B23)/C21*100)</f>
        <v/>
      </c>
      <c r="D25" s="14" t="str">
        <f t="shared" si="2"/>
        <v/>
      </c>
      <c r="E25" s="14" t="str">
        <f t="shared" si="2"/>
        <v/>
      </c>
      <c r="F25" s="14">
        <f t="shared" si="2"/>
        <v>5.5629646808975544</v>
      </c>
      <c r="G25" s="14">
        <f t="shared" si="2"/>
        <v>24.129996413963713</v>
      </c>
      <c r="H25" s="14">
        <f t="shared" si="2"/>
        <v>20.307489373900971</v>
      </c>
      <c r="I25" s="14">
        <f t="shared" si="2"/>
        <v>19.319175878632493</v>
      </c>
      <c r="J25" s="14" t="str">
        <f t="shared" si="2"/>
        <v/>
      </c>
      <c r="K25" s="15" t="s">
        <v>1372</v>
      </c>
    </row>
    <row r="27" spans="1:11" x14ac:dyDescent="0.3">
      <c r="A27" s="5" t="s">
        <v>1373</v>
      </c>
    </row>
    <row r="28" spans="1:11" ht="30" customHeight="1" x14ac:dyDescent="0.3">
      <c r="A28" s="9" t="s">
        <v>1374</v>
      </c>
      <c r="B28" s="10" t="s">
        <v>1337</v>
      </c>
      <c r="C28" s="10" t="s">
        <v>1338</v>
      </c>
      <c r="D28" s="10" t="s">
        <v>1339</v>
      </c>
      <c r="E28" s="10" t="s">
        <v>1340</v>
      </c>
      <c r="F28" s="10" t="s">
        <v>1341</v>
      </c>
      <c r="G28" s="10" t="s">
        <v>1342</v>
      </c>
      <c r="H28" s="10" t="s">
        <v>1343</v>
      </c>
      <c r="I28" s="10" t="s">
        <v>1344</v>
      </c>
      <c r="J28" s="10" t="s">
        <v>1345</v>
      </c>
      <c r="K28" s="10" t="s">
        <v>1375</v>
      </c>
    </row>
    <row r="29" spans="1:11" x14ac:dyDescent="0.3">
      <c r="A29" s="25" t="s">
        <v>1376</v>
      </c>
      <c r="B29" s="45">
        <v>7.47</v>
      </c>
      <c r="C29" s="45">
        <v>7.36</v>
      </c>
      <c r="D29" s="45">
        <v>2.87</v>
      </c>
      <c r="E29" s="45">
        <v>2.5499999999999998</v>
      </c>
      <c r="F29" s="45">
        <v>8.5399999999999991</v>
      </c>
      <c r="G29" s="45">
        <v>4.9800000000000004</v>
      </c>
      <c r="H29" s="45">
        <v>7.04</v>
      </c>
      <c r="I29" s="45">
        <v>8.02</v>
      </c>
      <c r="J29" s="45"/>
      <c r="K29" s="36" t="s">
        <v>1377</v>
      </c>
    </row>
    <row r="30" spans="1:11" x14ac:dyDescent="0.3">
      <c r="A30" s="26" t="s">
        <v>1378</v>
      </c>
      <c r="B30" s="43">
        <v>3.54</v>
      </c>
      <c r="C30" s="43">
        <v>2.8</v>
      </c>
      <c r="D30" s="43">
        <v>3.22</v>
      </c>
      <c r="E30" s="43">
        <v>1.83</v>
      </c>
      <c r="F30" s="43">
        <v>3.16</v>
      </c>
      <c r="G30" s="43">
        <v>3.25</v>
      </c>
      <c r="H30" s="43">
        <v>3.62</v>
      </c>
      <c r="I30" s="43">
        <v>3.31</v>
      </c>
      <c r="J30" s="43"/>
      <c r="K30" s="35" t="s">
        <v>1379</v>
      </c>
    </row>
    <row r="31" spans="1:11" x14ac:dyDescent="0.3">
      <c r="A31" s="25" t="s">
        <v>1380</v>
      </c>
      <c r="B31" s="45">
        <v>3222.31</v>
      </c>
      <c r="C31" s="45">
        <v>3440.9</v>
      </c>
      <c r="D31" s="45">
        <v>3534.04</v>
      </c>
      <c r="E31" s="45">
        <v>3704.19</v>
      </c>
      <c r="F31" s="45">
        <v>4147.7</v>
      </c>
      <c r="G31" s="45">
        <v>4322.83</v>
      </c>
      <c r="H31" s="45">
        <v>4716.66</v>
      </c>
      <c r="I31" s="45">
        <v>5065.99</v>
      </c>
      <c r="J31" s="45"/>
      <c r="K31" s="36" t="s">
        <v>1381</v>
      </c>
    </row>
    <row r="32" spans="1:11" x14ac:dyDescent="0.3">
      <c r="A32" s="26" t="s">
        <v>1382</v>
      </c>
      <c r="B32" s="43">
        <v>30.93</v>
      </c>
      <c r="C32" s="43">
        <v>31.33</v>
      </c>
      <c r="D32" s="43">
        <v>33.01</v>
      </c>
      <c r="E32" s="43">
        <v>32.6</v>
      </c>
      <c r="F32" s="43">
        <v>33.049999999999997</v>
      </c>
      <c r="G32" s="43">
        <v>35</v>
      </c>
      <c r="H32" s="43">
        <v>37.04</v>
      </c>
      <c r="I32" s="43"/>
      <c r="J32" s="43"/>
      <c r="K32" s="35" t="s">
        <v>1383</v>
      </c>
    </row>
    <row r="33" spans="1:11" x14ac:dyDescent="0.3">
      <c r="A33" s="25" t="s">
        <v>1384</v>
      </c>
      <c r="B33" s="45">
        <v>57.08</v>
      </c>
      <c r="C33" s="45">
        <v>56.83</v>
      </c>
      <c r="D33" s="45">
        <v>55.97</v>
      </c>
      <c r="E33" s="45">
        <v>55.52</v>
      </c>
      <c r="F33" s="45">
        <v>54.68</v>
      </c>
      <c r="G33" s="45">
        <v>54.02</v>
      </c>
      <c r="H33" s="45">
        <v>53.56</v>
      </c>
      <c r="I33" s="45">
        <v>53.21</v>
      </c>
      <c r="J33" s="45"/>
      <c r="K33" s="36" t="s">
        <v>1385</v>
      </c>
    </row>
    <row r="34" spans="1:11" x14ac:dyDescent="0.3">
      <c r="A34" s="26" t="s">
        <v>1386</v>
      </c>
      <c r="B34" s="43">
        <v>4.74</v>
      </c>
      <c r="C34" s="43">
        <v>4.97</v>
      </c>
      <c r="D34" s="43">
        <v>4.12</v>
      </c>
      <c r="E34" s="43">
        <v>3.38</v>
      </c>
      <c r="F34" s="43">
        <v>3.82</v>
      </c>
      <c r="G34" s="43">
        <v>4.78</v>
      </c>
      <c r="H34" s="43"/>
      <c r="I34" s="43"/>
      <c r="J34" s="43"/>
      <c r="K34" s="35" t="s">
        <v>1387</v>
      </c>
    </row>
    <row r="35" spans="1:11" x14ac:dyDescent="0.3">
      <c r="A35" s="25" t="s">
        <v>1388</v>
      </c>
      <c r="B35" s="45">
        <v>7.37</v>
      </c>
      <c r="C35" s="45">
        <v>7.71</v>
      </c>
      <c r="D35" s="45">
        <v>7.65</v>
      </c>
      <c r="E35" s="45">
        <v>7.81</v>
      </c>
      <c r="F35" s="45">
        <v>8.01</v>
      </c>
      <c r="G35" s="45">
        <v>9.32</v>
      </c>
      <c r="H35" s="45"/>
      <c r="I35" s="45"/>
      <c r="J35" s="45"/>
      <c r="K35" s="36" t="s">
        <v>1389</v>
      </c>
    </row>
    <row r="36" spans="1:11" x14ac:dyDescent="0.3">
      <c r="A36" s="26" t="s">
        <v>1390</v>
      </c>
      <c r="B36" s="43">
        <v>105.28</v>
      </c>
      <c r="C36" s="43">
        <v>108.03</v>
      </c>
      <c r="D36" s="43">
        <v>115.53</v>
      </c>
      <c r="E36" s="43">
        <v>124.28</v>
      </c>
      <c r="F36" s="43">
        <v>124.96</v>
      </c>
      <c r="G36" s="43"/>
      <c r="H36" s="43"/>
      <c r="I36" s="43"/>
      <c r="J36" s="43"/>
      <c r="K36" s="35" t="s">
        <v>1391</v>
      </c>
    </row>
    <row r="37" spans="1:11" x14ac:dyDescent="0.3">
      <c r="A37" s="25" t="s">
        <v>1392</v>
      </c>
      <c r="B37" s="45">
        <v>124.99</v>
      </c>
      <c r="C37" s="45">
        <v>129.15</v>
      </c>
      <c r="D37" s="45">
        <v>140.6</v>
      </c>
      <c r="E37" s="45">
        <v>146.16</v>
      </c>
      <c r="F37" s="45">
        <v>136.26</v>
      </c>
      <c r="G37" s="45"/>
      <c r="H37" s="45"/>
      <c r="I37" s="45"/>
      <c r="J37" s="45"/>
      <c r="K37" s="36" t="s">
        <v>1393</v>
      </c>
    </row>
    <row r="38" spans="1:11" x14ac:dyDescent="0.3">
      <c r="A38" s="26" t="s">
        <v>1394</v>
      </c>
      <c r="B38" s="43">
        <v>42.78</v>
      </c>
      <c r="C38" s="43">
        <v>44.81</v>
      </c>
      <c r="D38" s="43">
        <v>53.66</v>
      </c>
      <c r="E38" s="43">
        <v>76.069999999999993</v>
      </c>
      <c r="F38" s="43">
        <v>41.15</v>
      </c>
      <c r="G38" s="43">
        <v>43.3</v>
      </c>
      <c r="H38" s="43">
        <v>42.96</v>
      </c>
      <c r="I38" s="43">
        <v>61.4</v>
      </c>
      <c r="J38" s="43"/>
      <c r="K38" s="35" t="s">
        <v>1395</v>
      </c>
    </row>
    <row r="39" spans="1:11" x14ac:dyDescent="0.3">
      <c r="A39" s="25" t="s">
        <v>1396</v>
      </c>
      <c r="B39" s="45">
        <v>14.71</v>
      </c>
      <c r="C39" s="45">
        <v>9.44</v>
      </c>
      <c r="D39" s="45">
        <v>16.399999999999999</v>
      </c>
      <c r="E39" s="45">
        <v>51.89</v>
      </c>
      <c r="F39" s="45">
        <v>39.200000000000003</v>
      </c>
      <c r="G39" s="45">
        <v>31.43</v>
      </c>
      <c r="H39" s="45">
        <v>33.68</v>
      </c>
      <c r="I39" s="45">
        <v>43.96</v>
      </c>
      <c r="J39" s="45"/>
      <c r="K39" s="36" t="s">
        <v>1397</v>
      </c>
    </row>
    <row r="40" spans="1:11" x14ac:dyDescent="0.3">
      <c r="A40" s="26" t="s">
        <v>1398</v>
      </c>
      <c r="B40" s="43">
        <v>1.1599999999999999</v>
      </c>
      <c r="C40" s="43">
        <v>1.68</v>
      </c>
      <c r="D40" s="43">
        <v>2.1</v>
      </c>
      <c r="E40" s="43">
        <v>2.38</v>
      </c>
      <c r="F40" s="43">
        <v>1.57</v>
      </c>
      <c r="G40" s="43">
        <v>1.65</v>
      </c>
      <c r="H40" s="43">
        <v>1.6</v>
      </c>
      <c r="I40" s="43">
        <v>1.52</v>
      </c>
      <c r="J40" s="43"/>
      <c r="K40" s="35" t="s">
        <v>1399</v>
      </c>
    </row>
    <row r="41" spans="1:11" x14ac:dyDescent="0.3">
      <c r="A41" s="25" t="s">
        <v>1400</v>
      </c>
      <c r="B41" s="45">
        <v>22602.05</v>
      </c>
      <c r="C41" s="45">
        <v>23050.240000000002</v>
      </c>
      <c r="D41" s="45">
        <v>23208.37</v>
      </c>
      <c r="E41" s="45">
        <v>23159.78</v>
      </c>
      <c r="F41" s="45">
        <v>23271.21</v>
      </c>
      <c r="G41" s="45">
        <v>23787.32</v>
      </c>
      <c r="H41" s="45">
        <v>24164.89</v>
      </c>
      <c r="I41" s="45"/>
      <c r="J41" s="45"/>
      <c r="K41" s="36" t="s">
        <v>1401</v>
      </c>
    </row>
    <row r="42" spans="1:11" x14ac:dyDescent="0.3">
      <c r="A42" s="26" t="s">
        <v>1402</v>
      </c>
      <c r="B42" s="21">
        <v>96237319</v>
      </c>
      <c r="C42" s="21">
        <v>97173776</v>
      </c>
      <c r="D42" s="21">
        <v>98079191</v>
      </c>
      <c r="E42" s="21">
        <v>98935098</v>
      </c>
      <c r="F42" s="21">
        <v>99680655</v>
      </c>
      <c r="G42" s="21">
        <v>100352192</v>
      </c>
      <c r="H42" s="21">
        <v>100987686</v>
      </c>
      <c r="I42" s="21">
        <v>101598527</v>
      </c>
      <c r="J42" s="43"/>
      <c r="K42" s="35" t="s">
        <v>1403</v>
      </c>
    </row>
    <row r="43" spans="1:11" x14ac:dyDescent="0.3">
      <c r="A43" s="25" t="s">
        <v>1404</v>
      </c>
      <c r="B43" s="45">
        <v>69.849999999999994</v>
      </c>
      <c r="C43" s="45">
        <v>68.66</v>
      </c>
      <c r="D43" s="45">
        <v>70.3</v>
      </c>
      <c r="E43" s="45">
        <v>74.209999999999994</v>
      </c>
      <c r="F43" s="45">
        <v>78.59</v>
      </c>
      <c r="G43" s="45">
        <v>78.08</v>
      </c>
      <c r="H43" s="45">
        <v>84.15</v>
      </c>
      <c r="I43" s="45"/>
      <c r="J43" s="45"/>
      <c r="K43" s="36" t="s">
        <v>1405</v>
      </c>
    </row>
    <row r="45" spans="1:11" x14ac:dyDescent="0.3">
      <c r="A45" s="5" t="s">
        <v>1406</v>
      </c>
    </row>
    <row r="46" spans="1:11" ht="30" customHeight="1" x14ac:dyDescent="0.3">
      <c r="A46" s="9" t="s">
        <v>1374</v>
      </c>
      <c r="B46" s="10" t="s">
        <v>122</v>
      </c>
      <c r="C46" s="10" t="s">
        <v>123</v>
      </c>
      <c r="D46" s="10"/>
      <c r="E46" s="10"/>
      <c r="F46" s="10"/>
      <c r="G46" s="10"/>
      <c r="H46" s="10"/>
      <c r="I46" s="10"/>
      <c r="J46" s="10"/>
      <c r="K46" s="10" t="s">
        <v>1224</v>
      </c>
    </row>
    <row r="47" spans="1:11" x14ac:dyDescent="0.3">
      <c r="A47" s="25" t="s">
        <v>1407</v>
      </c>
      <c r="B47" s="46">
        <v>7.94</v>
      </c>
      <c r="C47" s="36" t="s">
        <v>1408</v>
      </c>
      <c r="D47" s="25"/>
      <c r="E47" s="25"/>
      <c r="F47" s="25"/>
      <c r="G47" s="25"/>
      <c r="H47" s="25"/>
      <c r="I47" s="25"/>
      <c r="J47" s="25"/>
      <c r="K47" s="36" t="s">
        <v>1409</v>
      </c>
    </row>
    <row r="48" spans="1:11" x14ac:dyDescent="0.3">
      <c r="A48" s="26" t="s">
        <v>1410</v>
      </c>
      <c r="B48" s="47">
        <v>8.39</v>
      </c>
      <c r="C48" s="35" t="s">
        <v>1408</v>
      </c>
      <c r="D48" s="26"/>
      <c r="E48" s="26"/>
      <c r="F48" s="26"/>
      <c r="G48" s="26"/>
      <c r="H48" s="26"/>
      <c r="I48" s="26"/>
      <c r="J48" s="26"/>
      <c r="K48" s="35" t="s">
        <v>1409</v>
      </c>
    </row>
    <row r="49" spans="1:11" x14ac:dyDescent="0.3">
      <c r="A49" s="25" t="s">
        <v>1411</v>
      </c>
      <c r="B49" s="46">
        <v>8.18</v>
      </c>
      <c r="C49" s="36" t="s">
        <v>1408</v>
      </c>
      <c r="D49" s="25"/>
      <c r="E49" s="25"/>
      <c r="F49" s="25"/>
      <c r="G49" s="25"/>
      <c r="H49" s="25"/>
      <c r="I49" s="25"/>
      <c r="J49" s="25"/>
      <c r="K49" s="36" t="s">
        <v>1409</v>
      </c>
    </row>
    <row r="50" spans="1:11" x14ac:dyDescent="0.3">
      <c r="A50" s="26" t="s">
        <v>1412</v>
      </c>
      <c r="B50" s="47">
        <v>9</v>
      </c>
      <c r="C50" s="35" t="s">
        <v>1413</v>
      </c>
      <c r="D50" s="26"/>
      <c r="E50" s="26"/>
      <c r="F50" s="26"/>
      <c r="G50" s="26"/>
      <c r="H50" s="26"/>
      <c r="I50" s="26"/>
      <c r="J50" s="26"/>
      <c r="K50" s="35" t="s">
        <v>1409</v>
      </c>
    </row>
    <row r="51" spans="1:11" x14ac:dyDescent="0.3">
      <c r="A51" s="25" t="s">
        <v>1414</v>
      </c>
      <c r="B51" s="46">
        <v>21</v>
      </c>
      <c r="C51" s="36" t="s">
        <v>1408</v>
      </c>
      <c r="D51" s="25"/>
      <c r="E51" s="25"/>
      <c r="F51" s="25"/>
      <c r="G51" s="25"/>
      <c r="H51" s="25"/>
      <c r="I51" s="25"/>
      <c r="J51" s="25"/>
      <c r="K51" s="36" t="s">
        <v>1409</v>
      </c>
    </row>
    <row r="52" spans="1:11" x14ac:dyDescent="0.3">
      <c r="A52" s="26" t="s">
        <v>1415</v>
      </c>
      <c r="B52" s="47">
        <v>33.4</v>
      </c>
      <c r="C52" s="35" t="s">
        <v>1408</v>
      </c>
      <c r="D52" s="26"/>
      <c r="E52" s="26"/>
      <c r="F52" s="26"/>
      <c r="G52" s="26"/>
      <c r="H52" s="26"/>
      <c r="I52" s="26"/>
      <c r="J52" s="26"/>
      <c r="K52" s="35" t="s">
        <v>1409</v>
      </c>
    </row>
    <row r="53" spans="1:11" x14ac:dyDescent="0.3">
      <c r="A53" s="25" t="s">
        <v>1416</v>
      </c>
      <c r="B53" s="46">
        <v>4.6900000000000004</v>
      </c>
      <c r="C53" s="36" t="s">
        <v>1408</v>
      </c>
      <c r="D53" s="25"/>
      <c r="E53" s="25"/>
      <c r="F53" s="25"/>
      <c r="G53" s="25"/>
      <c r="H53" s="25"/>
      <c r="I53" s="25"/>
      <c r="J53" s="25"/>
      <c r="K53" s="36" t="s">
        <v>1417</v>
      </c>
    </row>
    <row r="54" spans="1:11" x14ac:dyDescent="0.3">
      <c r="A54" s="26" t="s">
        <v>1418</v>
      </c>
      <c r="B54" s="47">
        <v>4.5</v>
      </c>
      <c r="C54" s="35" t="s">
        <v>1408</v>
      </c>
      <c r="D54" s="26"/>
      <c r="E54" s="26"/>
      <c r="F54" s="26"/>
      <c r="G54" s="26"/>
      <c r="H54" s="26"/>
      <c r="I54" s="26"/>
      <c r="J54" s="26"/>
      <c r="K54" s="35" t="s">
        <v>1417</v>
      </c>
    </row>
    <row r="55" spans="1:11" x14ac:dyDescent="0.3">
      <c r="A55" s="25" t="s">
        <v>1419</v>
      </c>
      <c r="B55" s="46">
        <v>4.8899999999999997</v>
      </c>
      <c r="C55" s="36" t="s">
        <v>1408</v>
      </c>
      <c r="D55" s="25"/>
      <c r="E55" s="25"/>
      <c r="F55" s="25"/>
      <c r="G55" s="25"/>
      <c r="H55" s="25"/>
      <c r="I55" s="25"/>
      <c r="J55" s="25"/>
      <c r="K55" s="36" t="s">
        <v>1420</v>
      </c>
    </row>
    <row r="56" spans="1:11" x14ac:dyDescent="0.3">
      <c r="A56" s="26" t="s">
        <v>1421</v>
      </c>
      <c r="B56" s="47">
        <v>4.45</v>
      </c>
      <c r="C56" s="35" t="s">
        <v>1408</v>
      </c>
      <c r="D56" s="26"/>
      <c r="E56" s="26"/>
      <c r="F56" s="26"/>
      <c r="G56" s="26"/>
      <c r="H56" s="26"/>
      <c r="I56" s="26"/>
      <c r="J56" s="26"/>
      <c r="K56" s="35" t="s">
        <v>1420</v>
      </c>
    </row>
    <row r="57" spans="1:11" x14ac:dyDescent="0.3">
      <c r="A57" s="25" t="s">
        <v>1422</v>
      </c>
      <c r="B57" s="46">
        <v>14.9</v>
      </c>
      <c r="C57" s="36" t="s">
        <v>1408</v>
      </c>
      <c r="D57" s="25"/>
      <c r="E57" s="25"/>
      <c r="F57" s="25"/>
      <c r="G57" s="25"/>
      <c r="H57" s="25"/>
      <c r="I57" s="25"/>
      <c r="J57" s="25"/>
      <c r="K57" s="36" t="s">
        <v>1420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116"/>
  <sheetViews>
    <sheetView showGridLines="0" workbookViewId="0"/>
  </sheetViews>
  <sheetFormatPr defaultRowHeight="14" x14ac:dyDescent="0.3"/>
  <cols>
    <col min="1" max="1" width="40" customWidth="1"/>
    <col min="2" max="6" width="15" customWidth="1"/>
    <col min="7" max="7" width="46" customWidth="1"/>
  </cols>
  <sheetData>
    <row r="1" spans="1:7" ht="18" x14ac:dyDescent="0.4">
      <c r="A1" s="1" t="s">
        <v>1423</v>
      </c>
    </row>
    <row r="2" spans="1:7" x14ac:dyDescent="0.3">
      <c r="A2" s="8" t="s">
        <v>1424</v>
      </c>
    </row>
    <row r="4" spans="1:7" x14ac:dyDescent="0.3">
      <c r="A4" s="5" t="s">
        <v>1425</v>
      </c>
    </row>
    <row r="5" spans="1:7" ht="26" customHeight="1" x14ac:dyDescent="0.3">
      <c r="A5" s="3" t="s">
        <v>1426</v>
      </c>
      <c r="B5" s="67" t="s">
        <v>1427</v>
      </c>
      <c r="C5" s="68"/>
      <c r="D5" s="68"/>
      <c r="E5" s="68"/>
      <c r="F5" s="68"/>
      <c r="G5" s="68"/>
    </row>
    <row r="6" spans="1:7" ht="52" customHeight="1" x14ac:dyDescent="0.3">
      <c r="A6" s="3" t="s">
        <v>1428</v>
      </c>
      <c r="B6" s="67" t="s">
        <v>1429</v>
      </c>
      <c r="C6" s="68"/>
      <c r="D6" s="68"/>
      <c r="E6" s="68"/>
      <c r="F6" s="68"/>
      <c r="G6" s="68"/>
    </row>
    <row r="7" spans="1:7" ht="26" customHeight="1" x14ac:dyDescent="0.3">
      <c r="A7" s="3" t="s">
        <v>1430</v>
      </c>
      <c r="B7" s="67" t="s">
        <v>1431</v>
      </c>
      <c r="C7" s="68"/>
      <c r="D7" s="68"/>
      <c r="E7" s="68"/>
      <c r="F7" s="68"/>
      <c r="G7" s="68"/>
    </row>
    <row r="8" spans="1:7" ht="78" customHeight="1" x14ac:dyDescent="0.3">
      <c r="A8" s="3" t="s">
        <v>1432</v>
      </c>
      <c r="B8" s="67" t="s">
        <v>1433</v>
      </c>
      <c r="C8" s="68"/>
      <c r="D8" s="68"/>
      <c r="E8" s="68"/>
      <c r="F8" s="68"/>
      <c r="G8" s="68"/>
    </row>
    <row r="9" spans="1:7" ht="39" customHeight="1" x14ac:dyDescent="0.3">
      <c r="A9" s="3" t="s">
        <v>1434</v>
      </c>
      <c r="B9" s="67" t="s">
        <v>1435</v>
      </c>
      <c r="C9" s="68"/>
      <c r="D9" s="68"/>
      <c r="E9" s="68"/>
      <c r="F9" s="68"/>
      <c r="G9" s="68"/>
    </row>
    <row r="10" spans="1:7" ht="39" customHeight="1" x14ac:dyDescent="0.3">
      <c r="A10" s="3" t="s">
        <v>1436</v>
      </c>
      <c r="B10" s="67" t="s">
        <v>1437</v>
      </c>
      <c r="C10" s="68"/>
      <c r="D10" s="68"/>
      <c r="E10" s="68"/>
      <c r="F10" s="68"/>
      <c r="G10" s="68"/>
    </row>
    <row r="11" spans="1:7" ht="39" customHeight="1" x14ac:dyDescent="0.3">
      <c r="A11" s="3" t="s">
        <v>1438</v>
      </c>
      <c r="B11" s="67" t="s">
        <v>1439</v>
      </c>
      <c r="C11" s="68"/>
      <c r="D11" s="68"/>
      <c r="E11" s="68"/>
      <c r="F11" s="68"/>
      <c r="G11" s="68"/>
    </row>
    <row r="12" spans="1:7" ht="26" customHeight="1" x14ac:dyDescent="0.3">
      <c r="A12" s="3" t="s">
        <v>1440</v>
      </c>
      <c r="B12" s="67" t="s">
        <v>1441</v>
      </c>
      <c r="C12" s="68"/>
      <c r="D12" s="68"/>
      <c r="E12" s="68"/>
      <c r="F12" s="68"/>
      <c r="G12" s="68"/>
    </row>
    <row r="13" spans="1:7" ht="39" customHeight="1" x14ac:dyDescent="0.3">
      <c r="A13" s="3" t="s">
        <v>1442</v>
      </c>
      <c r="B13" s="67" t="s">
        <v>1443</v>
      </c>
      <c r="C13" s="68"/>
      <c r="D13" s="68"/>
      <c r="E13" s="68"/>
      <c r="F13" s="68"/>
      <c r="G13" s="68"/>
    </row>
    <row r="15" spans="1:7" x14ac:dyDescent="0.3">
      <c r="A15" s="5" t="s">
        <v>1444</v>
      </c>
    </row>
    <row r="16" spans="1:7" ht="30" customHeight="1" x14ac:dyDescent="0.3">
      <c r="A16" s="9" t="s">
        <v>1445</v>
      </c>
      <c r="B16" s="10" t="s">
        <v>1211</v>
      </c>
      <c r="C16" s="10" t="s">
        <v>1446</v>
      </c>
      <c r="D16" s="10" t="s">
        <v>1447</v>
      </c>
      <c r="E16" s="10"/>
      <c r="F16" s="10"/>
      <c r="G16" s="10" t="s">
        <v>71</v>
      </c>
    </row>
    <row r="17" spans="1:7" x14ac:dyDescent="0.3">
      <c r="A17" s="16" t="s">
        <v>1448</v>
      </c>
      <c r="B17" s="21">
        <v>867</v>
      </c>
      <c r="C17" s="21">
        <v>1200</v>
      </c>
      <c r="D17" s="21">
        <v>177</v>
      </c>
      <c r="E17" s="26"/>
      <c r="F17" s="26"/>
      <c r="G17" s="20" t="s">
        <v>1449</v>
      </c>
    </row>
    <row r="18" spans="1:7" x14ac:dyDescent="0.3">
      <c r="A18" s="11" t="s">
        <v>1450</v>
      </c>
      <c r="B18" s="23">
        <v>127</v>
      </c>
      <c r="C18" s="23">
        <v>23</v>
      </c>
      <c r="D18" s="23">
        <v>0</v>
      </c>
      <c r="E18" s="25"/>
      <c r="F18" s="25"/>
      <c r="G18" s="15"/>
    </row>
    <row r="19" spans="1:7" x14ac:dyDescent="0.3">
      <c r="A19" s="16" t="s">
        <v>1451</v>
      </c>
      <c r="B19" s="21">
        <v>70</v>
      </c>
      <c r="C19" s="21">
        <v>3</v>
      </c>
      <c r="D19" s="21">
        <v>0</v>
      </c>
      <c r="E19" s="26"/>
      <c r="F19" s="26"/>
      <c r="G19" s="20"/>
    </row>
    <row r="20" spans="1:7" x14ac:dyDescent="0.3">
      <c r="A20" s="11" t="s">
        <v>1452</v>
      </c>
      <c r="B20" s="23">
        <v>0</v>
      </c>
      <c r="C20" s="23">
        <v>3</v>
      </c>
      <c r="D20" s="23">
        <v>0</v>
      </c>
      <c r="E20" s="25"/>
      <c r="F20" s="25"/>
      <c r="G20" s="15"/>
    </row>
    <row r="21" spans="1:7" x14ac:dyDescent="0.3">
      <c r="A21" s="16" t="s">
        <v>1453</v>
      </c>
      <c r="B21" s="21">
        <v>670</v>
      </c>
      <c r="C21" s="21">
        <v>1171</v>
      </c>
      <c r="D21" s="21">
        <v>177</v>
      </c>
      <c r="E21" s="26"/>
      <c r="F21" s="26"/>
      <c r="G21" s="20"/>
    </row>
    <row r="22" spans="1:7" x14ac:dyDescent="0.3">
      <c r="A22" s="25" t="s">
        <v>1454</v>
      </c>
      <c r="B22" s="14">
        <f>(B17-B21)/B17*100</f>
        <v>22.722029988465977</v>
      </c>
      <c r="C22" s="14">
        <f>(C17-C21)/C17*100</f>
        <v>2.4166666666666665</v>
      </c>
      <c r="D22" s="14">
        <f>(D17-D21)/D17*100</f>
        <v>0</v>
      </c>
      <c r="E22" s="25"/>
      <c r="F22" s="25"/>
      <c r="G22" s="36"/>
    </row>
    <row r="23" spans="1:7" x14ac:dyDescent="0.3">
      <c r="A23" s="25" t="s">
        <v>1455</v>
      </c>
      <c r="B23" s="48">
        <v>3.29</v>
      </c>
      <c r="C23" s="48">
        <v>2.597</v>
      </c>
      <c r="D23" s="48">
        <v>2.181</v>
      </c>
      <c r="E23" s="25"/>
      <c r="F23" s="25"/>
      <c r="G23" s="15"/>
    </row>
    <row r="24" spans="1:7" x14ac:dyDescent="0.3">
      <c r="A24" s="25" t="s">
        <v>1456</v>
      </c>
      <c r="B24" s="48">
        <v>3.218</v>
      </c>
      <c r="C24" s="48">
        <v>2.5819999999999999</v>
      </c>
      <c r="D24" s="48">
        <v>2.181</v>
      </c>
      <c r="E24" s="25"/>
      <c r="F24" s="25"/>
      <c r="G24" s="15"/>
    </row>
    <row r="25" spans="1:7" ht="23" x14ac:dyDescent="0.3">
      <c r="A25" s="25" t="s">
        <v>1457</v>
      </c>
      <c r="B25" s="48">
        <v>3.5329999999999999</v>
      </c>
      <c r="C25" s="48">
        <v>3.2069999999999999</v>
      </c>
      <c r="D25" s="48"/>
      <c r="E25" s="25"/>
      <c r="F25" s="25"/>
      <c r="G25" s="15" t="s">
        <v>1458</v>
      </c>
    </row>
    <row r="27" spans="1:7" x14ac:dyDescent="0.3">
      <c r="A27" s="5" t="s">
        <v>1459</v>
      </c>
    </row>
    <row r="28" spans="1:7" ht="30" customHeight="1" x14ac:dyDescent="0.3">
      <c r="A28" s="9" t="s">
        <v>1460</v>
      </c>
      <c r="B28" s="10" t="s">
        <v>1461</v>
      </c>
      <c r="C28" s="10" t="s">
        <v>1462</v>
      </c>
      <c r="D28" s="10" t="s">
        <v>1463</v>
      </c>
      <c r="E28" s="10" t="s">
        <v>1464</v>
      </c>
      <c r="F28" s="10" t="s">
        <v>1465</v>
      </c>
      <c r="G28" s="10" t="s">
        <v>1466</v>
      </c>
    </row>
    <row r="29" spans="1:7" x14ac:dyDescent="0.3">
      <c r="A29" s="16" t="s">
        <v>1339</v>
      </c>
      <c r="B29" s="21">
        <v>3</v>
      </c>
      <c r="C29" s="21">
        <v>0</v>
      </c>
      <c r="D29" s="19">
        <f t="shared" ref="D29:D36" si="0">C29/B29*100</f>
        <v>0</v>
      </c>
      <c r="E29" s="22">
        <f t="shared" ref="E29:E35" si="1">B29-C29</f>
        <v>3</v>
      </c>
      <c r="F29" s="49">
        <v>3.6669999999999998</v>
      </c>
      <c r="G29" s="21">
        <v>0</v>
      </c>
    </row>
    <row r="30" spans="1:7" x14ac:dyDescent="0.3">
      <c r="A30" s="11" t="s">
        <v>1340</v>
      </c>
      <c r="B30" s="23">
        <v>72</v>
      </c>
      <c r="C30" s="23">
        <v>8</v>
      </c>
      <c r="D30" s="14">
        <f t="shared" si="0"/>
        <v>11.111111111111111</v>
      </c>
      <c r="E30" s="24">
        <f t="shared" si="1"/>
        <v>64</v>
      </c>
      <c r="F30" s="48">
        <v>2.0310000000000001</v>
      </c>
      <c r="G30" s="23">
        <v>4</v>
      </c>
    </row>
    <row r="31" spans="1:7" x14ac:dyDescent="0.3">
      <c r="A31" s="16" t="s">
        <v>1341</v>
      </c>
      <c r="B31" s="21">
        <v>207</v>
      </c>
      <c r="C31" s="21">
        <v>96</v>
      </c>
      <c r="D31" s="19">
        <f t="shared" si="0"/>
        <v>46.376811594202898</v>
      </c>
      <c r="E31" s="22">
        <f t="shared" si="1"/>
        <v>111</v>
      </c>
      <c r="F31" s="49">
        <v>3.18</v>
      </c>
      <c r="G31" s="21">
        <v>20</v>
      </c>
    </row>
    <row r="32" spans="1:7" x14ac:dyDescent="0.3">
      <c r="A32" s="11" t="s">
        <v>1342</v>
      </c>
      <c r="B32" s="23">
        <v>154</v>
      </c>
      <c r="C32" s="23">
        <v>83</v>
      </c>
      <c r="D32" s="14">
        <f t="shared" si="0"/>
        <v>53.896103896103895</v>
      </c>
      <c r="E32" s="24">
        <f t="shared" si="1"/>
        <v>71</v>
      </c>
      <c r="F32" s="48">
        <v>2.6760000000000002</v>
      </c>
      <c r="G32" s="23">
        <v>7</v>
      </c>
    </row>
    <row r="33" spans="1:7" x14ac:dyDescent="0.3">
      <c r="A33" s="16" t="s">
        <v>1343</v>
      </c>
      <c r="B33" s="21">
        <v>202</v>
      </c>
      <c r="C33" s="21">
        <v>9</v>
      </c>
      <c r="D33" s="19">
        <f t="shared" si="0"/>
        <v>4.455445544554455</v>
      </c>
      <c r="E33" s="22">
        <f t="shared" si="1"/>
        <v>193</v>
      </c>
      <c r="F33" s="49">
        <v>4.3520000000000003</v>
      </c>
      <c r="G33" s="21">
        <v>65</v>
      </c>
    </row>
    <row r="34" spans="1:7" x14ac:dyDescent="0.3">
      <c r="A34" s="11" t="s">
        <v>1344</v>
      </c>
      <c r="B34" s="23">
        <v>159</v>
      </c>
      <c r="C34" s="23">
        <v>1</v>
      </c>
      <c r="D34" s="14">
        <f t="shared" si="0"/>
        <v>0.62893081761006298</v>
      </c>
      <c r="E34" s="24">
        <f t="shared" si="1"/>
        <v>158</v>
      </c>
      <c r="F34" s="48">
        <v>2.6459999999999999</v>
      </c>
      <c r="G34" s="23">
        <v>19</v>
      </c>
    </row>
    <row r="35" spans="1:7" x14ac:dyDescent="0.3">
      <c r="A35" s="16" t="s">
        <v>1345</v>
      </c>
      <c r="B35" s="21">
        <v>70</v>
      </c>
      <c r="C35" s="21">
        <v>0</v>
      </c>
      <c r="D35" s="19">
        <f t="shared" si="0"/>
        <v>0</v>
      </c>
      <c r="E35" s="22">
        <f t="shared" si="1"/>
        <v>70</v>
      </c>
      <c r="F35" s="49">
        <v>3.0569999999999999</v>
      </c>
      <c r="G35" s="21">
        <v>9</v>
      </c>
    </row>
    <row r="36" spans="1:7" x14ac:dyDescent="0.3">
      <c r="A36" s="11" t="s">
        <v>1467</v>
      </c>
      <c r="B36" s="50">
        <f>SUM(B29:B35)</f>
        <v>867</v>
      </c>
      <c r="C36" s="50">
        <f>SUM(C29:C35)</f>
        <v>197</v>
      </c>
      <c r="D36" s="51">
        <f t="shared" si="0"/>
        <v>22.722029988465977</v>
      </c>
      <c r="E36" s="50">
        <f>SUM(E29:E35)</f>
        <v>670</v>
      </c>
      <c r="F36" s="48">
        <v>3.218</v>
      </c>
      <c r="G36" s="50">
        <f>SUM(G29:G35)</f>
        <v>124</v>
      </c>
    </row>
    <row r="38" spans="1:7" x14ac:dyDescent="0.3">
      <c r="A38" s="5" t="s">
        <v>1468</v>
      </c>
    </row>
    <row r="39" spans="1:7" ht="30" customHeight="1" x14ac:dyDescent="0.3">
      <c r="A39" s="9" t="s">
        <v>1460</v>
      </c>
      <c r="B39" s="10" t="s">
        <v>1469</v>
      </c>
      <c r="C39" s="10" t="s">
        <v>1470</v>
      </c>
      <c r="D39" s="10" t="s">
        <v>1471</v>
      </c>
      <c r="E39" s="10"/>
      <c r="F39" s="10"/>
      <c r="G39" s="10" t="s">
        <v>1326</v>
      </c>
    </row>
    <row r="40" spans="1:7" x14ac:dyDescent="0.3">
      <c r="A40" s="16" t="s">
        <v>1339</v>
      </c>
      <c r="B40" s="21">
        <v>3</v>
      </c>
      <c r="C40" s="49">
        <v>3.6669999999999998</v>
      </c>
      <c r="D40" s="52">
        <v>0</v>
      </c>
      <c r="E40" s="26"/>
      <c r="F40" s="26"/>
      <c r="G40" s="20"/>
    </row>
    <row r="41" spans="1:7" x14ac:dyDescent="0.3">
      <c r="A41" s="11" t="s">
        <v>1340</v>
      </c>
      <c r="B41" s="23">
        <v>60</v>
      </c>
      <c r="C41" s="48">
        <v>1.833</v>
      </c>
      <c r="D41" s="44">
        <v>6.2</v>
      </c>
      <c r="E41" s="25"/>
      <c r="F41" s="25"/>
      <c r="G41" s="15"/>
    </row>
    <row r="42" spans="1:7" x14ac:dyDescent="0.3">
      <c r="A42" s="16" t="s">
        <v>1341</v>
      </c>
      <c r="B42" s="21">
        <v>91</v>
      </c>
      <c r="C42" s="49">
        <v>2.8460000000000001</v>
      </c>
      <c r="D42" s="52">
        <v>18</v>
      </c>
      <c r="E42" s="26"/>
      <c r="F42" s="26"/>
      <c r="G42" s="20"/>
    </row>
    <row r="43" spans="1:7" x14ac:dyDescent="0.3">
      <c r="A43" s="11" t="s">
        <v>1342</v>
      </c>
      <c r="B43" s="23">
        <v>64</v>
      </c>
      <c r="C43" s="48">
        <v>2.4220000000000002</v>
      </c>
      <c r="D43" s="44">
        <v>9.9</v>
      </c>
      <c r="E43" s="25"/>
      <c r="F43" s="25"/>
      <c r="G43" s="15"/>
    </row>
    <row r="44" spans="1:7" ht="23" x14ac:dyDescent="0.3">
      <c r="A44" s="16" t="s">
        <v>1343</v>
      </c>
      <c r="B44" s="21">
        <v>128</v>
      </c>
      <c r="C44" s="49">
        <v>4.1479999999999997</v>
      </c>
      <c r="D44" s="52">
        <v>33.700000000000003</v>
      </c>
      <c r="E44" s="26"/>
      <c r="F44" s="26"/>
      <c r="G44" s="20" t="s">
        <v>1472</v>
      </c>
    </row>
    <row r="45" spans="1:7" ht="23" x14ac:dyDescent="0.3">
      <c r="A45" s="11" t="s">
        <v>1344</v>
      </c>
      <c r="B45" s="23">
        <v>139</v>
      </c>
      <c r="C45" s="48">
        <v>2.3809999999999998</v>
      </c>
      <c r="D45" s="44">
        <v>12</v>
      </c>
      <c r="E45" s="25"/>
      <c r="F45" s="25"/>
      <c r="G45" s="15" t="s">
        <v>1473</v>
      </c>
    </row>
    <row r="46" spans="1:7" x14ac:dyDescent="0.3">
      <c r="A46" s="16" t="s">
        <v>1345</v>
      </c>
      <c r="B46" s="21">
        <v>61</v>
      </c>
      <c r="C46" s="49">
        <v>2.8519999999999999</v>
      </c>
      <c r="D46" s="52">
        <v>12.9</v>
      </c>
      <c r="E46" s="26"/>
      <c r="F46" s="26"/>
      <c r="G46" s="20"/>
    </row>
    <row r="48" spans="1:7" x14ac:dyDescent="0.3">
      <c r="A48" s="5" t="s">
        <v>1474</v>
      </c>
    </row>
    <row r="49" spans="1:7" ht="30" customHeight="1" x14ac:dyDescent="0.3">
      <c r="A49" s="9" t="s">
        <v>1460</v>
      </c>
      <c r="B49" s="10" t="s">
        <v>1464</v>
      </c>
      <c r="C49" s="10" t="s">
        <v>1475</v>
      </c>
      <c r="D49" s="10" t="s">
        <v>1476</v>
      </c>
      <c r="E49" s="10" t="s">
        <v>1477</v>
      </c>
      <c r="F49" s="10" t="s">
        <v>1478</v>
      </c>
      <c r="G49" s="10" t="s">
        <v>1326</v>
      </c>
    </row>
    <row r="50" spans="1:7" x14ac:dyDescent="0.3">
      <c r="A50" s="16" t="s">
        <v>1339</v>
      </c>
      <c r="B50" s="21">
        <v>3</v>
      </c>
      <c r="C50" s="52">
        <v>0</v>
      </c>
      <c r="D50" s="49">
        <v>3.6669999999999998</v>
      </c>
      <c r="E50" s="52">
        <v>33.299999999999997</v>
      </c>
      <c r="F50" s="49">
        <v>3</v>
      </c>
      <c r="G50" s="20"/>
    </row>
    <row r="51" spans="1:7" x14ac:dyDescent="0.3">
      <c r="A51" s="11" t="s">
        <v>1340</v>
      </c>
      <c r="B51" s="23">
        <v>64</v>
      </c>
      <c r="C51" s="44">
        <v>6.2</v>
      </c>
      <c r="D51" s="48">
        <v>1.833</v>
      </c>
      <c r="E51" s="44">
        <v>26.6</v>
      </c>
      <c r="F51" s="48">
        <v>1.7450000000000001</v>
      </c>
      <c r="G51" s="15"/>
    </row>
    <row r="52" spans="1:7" x14ac:dyDescent="0.3">
      <c r="A52" s="16" t="s">
        <v>1341</v>
      </c>
      <c r="B52" s="21">
        <v>111</v>
      </c>
      <c r="C52" s="52">
        <v>18</v>
      </c>
      <c r="D52" s="49">
        <v>2.8460000000000001</v>
      </c>
      <c r="E52" s="52">
        <v>34.200000000000003</v>
      </c>
      <c r="F52" s="49">
        <v>2.4929999999999999</v>
      </c>
      <c r="G52" s="20"/>
    </row>
    <row r="53" spans="1:7" x14ac:dyDescent="0.3">
      <c r="A53" s="11" t="s">
        <v>1342</v>
      </c>
      <c r="B53" s="23">
        <v>71</v>
      </c>
      <c r="C53" s="44">
        <v>9.9</v>
      </c>
      <c r="D53" s="48">
        <v>2.4220000000000002</v>
      </c>
      <c r="E53" s="44">
        <v>16.899999999999999</v>
      </c>
      <c r="F53" s="48">
        <v>2.2200000000000002</v>
      </c>
      <c r="G53" s="15"/>
    </row>
    <row r="54" spans="1:7" x14ac:dyDescent="0.3">
      <c r="A54" s="16" t="s">
        <v>1343</v>
      </c>
      <c r="B54" s="21">
        <v>193</v>
      </c>
      <c r="C54" s="52">
        <v>33.700000000000003</v>
      </c>
      <c r="D54" s="49">
        <v>4.1479999999999997</v>
      </c>
      <c r="E54" s="52">
        <v>62.7</v>
      </c>
      <c r="F54" s="49">
        <v>3.7360000000000002</v>
      </c>
      <c r="G54" s="20"/>
    </row>
    <row r="55" spans="1:7" x14ac:dyDescent="0.3">
      <c r="A55" s="11" t="s">
        <v>1344</v>
      </c>
      <c r="B55" s="23">
        <v>158</v>
      </c>
      <c r="C55" s="44">
        <v>12</v>
      </c>
      <c r="D55" s="48">
        <v>2.3809999999999998</v>
      </c>
      <c r="E55" s="44">
        <v>25.9</v>
      </c>
      <c r="F55" s="48">
        <v>2.0089999999999999</v>
      </c>
      <c r="G55" s="15" t="s">
        <v>1479</v>
      </c>
    </row>
    <row r="56" spans="1:7" x14ac:dyDescent="0.3">
      <c r="A56" s="16" t="s">
        <v>1345</v>
      </c>
      <c r="B56" s="21">
        <v>70</v>
      </c>
      <c r="C56" s="52">
        <v>12.9</v>
      </c>
      <c r="D56" s="49">
        <v>2.8519999999999999</v>
      </c>
      <c r="E56" s="52">
        <v>25.7</v>
      </c>
      <c r="F56" s="49">
        <v>2.4809999999999999</v>
      </c>
      <c r="G56" s="20"/>
    </row>
    <row r="58" spans="1:7" x14ac:dyDescent="0.3">
      <c r="A58" s="5" t="s">
        <v>1480</v>
      </c>
    </row>
    <row r="59" spans="1:7" ht="30" customHeight="1" x14ac:dyDescent="0.3">
      <c r="A59" s="9" t="s">
        <v>1481</v>
      </c>
      <c r="B59" s="10" t="s">
        <v>1482</v>
      </c>
      <c r="C59" s="10" t="s">
        <v>1483</v>
      </c>
      <c r="D59" s="10" t="s">
        <v>1484</v>
      </c>
      <c r="E59" s="10" t="s">
        <v>1485</v>
      </c>
      <c r="F59" s="10" t="s">
        <v>1486</v>
      </c>
      <c r="G59" s="10" t="s">
        <v>154</v>
      </c>
    </row>
    <row r="60" spans="1:7" x14ac:dyDescent="0.3">
      <c r="A60" s="16" t="s">
        <v>1487</v>
      </c>
      <c r="B60" s="21">
        <v>59</v>
      </c>
      <c r="C60" s="21">
        <v>4</v>
      </c>
      <c r="D60" s="21">
        <v>7</v>
      </c>
      <c r="E60" s="22">
        <f t="shared" ref="E60:E71" si="2">B60+C60+D60</f>
        <v>70</v>
      </c>
      <c r="F60" s="19">
        <f t="shared" ref="F60:F70" si="3">B60/$B$71*100</f>
        <v>21.223021582733814</v>
      </c>
      <c r="G60" s="20" t="s">
        <v>1488</v>
      </c>
    </row>
    <row r="61" spans="1:7" x14ac:dyDescent="0.3">
      <c r="A61" s="11" t="s">
        <v>1489</v>
      </c>
      <c r="B61" s="23">
        <v>76</v>
      </c>
      <c r="C61" s="23">
        <v>5</v>
      </c>
      <c r="D61" s="23">
        <v>21</v>
      </c>
      <c r="E61" s="24">
        <f t="shared" si="2"/>
        <v>102</v>
      </c>
      <c r="F61" s="14">
        <f t="shared" si="3"/>
        <v>27.338129496402878</v>
      </c>
      <c r="G61" s="15" t="s">
        <v>1490</v>
      </c>
    </row>
    <row r="62" spans="1:7" x14ac:dyDescent="0.3">
      <c r="A62" s="16" t="s">
        <v>1491</v>
      </c>
      <c r="B62" s="21">
        <v>14</v>
      </c>
      <c r="C62" s="21">
        <v>2</v>
      </c>
      <c r="D62" s="21">
        <v>8</v>
      </c>
      <c r="E62" s="22">
        <f t="shared" si="2"/>
        <v>24</v>
      </c>
      <c r="F62" s="19">
        <f t="shared" si="3"/>
        <v>5.0359712230215825</v>
      </c>
      <c r="G62" s="20" t="s">
        <v>1492</v>
      </c>
    </row>
    <row r="63" spans="1:7" x14ac:dyDescent="0.3">
      <c r="A63" s="11" t="s">
        <v>1493</v>
      </c>
      <c r="B63" s="23">
        <v>24</v>
      </c>
      <c r="C63" s="23">
        <v>3</v>
      </c>
      <c r="D63" s="23">
        <v>7</v>
      </c>
      <c r="E63" s="24">
        <f t="shared" si="2"/>
        <v>34</v>
      </c>
      <c r="F63" s="14">
        <f t="shared" si="3"/>
        <v>8.6330935251798557</v>
      </c>
      <c r="G63" s="15" t="s">
        <v>1494</v>
      </c>
    </row>
    <row r="64" spans="1:7" x14ac:dyDescent="0.3">
      <c r="A64" s="16" t="s">
        <v>1495</v>
      </c>
      <c r="B64" s="21">
        <v>3</v>
      </c>
      <c r="C64" s="21">
        <v>1</v>
      </c>
      <c r="D64" s="21">
        <v>4</v>
      </c>
      <c r="E64" s="22">
        <f t="shared" si="2"/>
        <v>8</v>
      </c>
      <c r="F64" s="19">
        <f t="shared" si="3"/>
        <v>1.079136690647482</v>
      </c>
      <c r="G64" s="20" t="s">
        <v>1496</v>
      </c>
    </row>
    <row r="65" spans="1:7" x14ac:dyDescent="0.3">
      <c r="A65" s="11" t="s">
        <v>1497</v>
      </c>
      <c r="B65" s="23">
        <v>49</v>
      </c>
      <c r="C65" s="23">
        <v>2</v>
      </c>
      <c r="D65" s="23">
        <v>1</v>
      </c>
      <c r="E65" s="24">
        <f t="shared" si="2"/>
        <v>52</v>
      </c>
      <c r="F65" s="14">
        <f t="shared" si="3"/>
        <v>17.625899280575538</v>
      </c>
      <c r="G65" s="15" t="s">
        <v>1498</v>
      </c>
    </row>
    <row r="66" spans="1:7" x14ac:dyDescent="0.3">
      <c r="A66" s="16" t="s">
        <v>1499</v>
      </c>
      <c r="B66" s="21">
        <v>10</v>
      </c>
      <c r="C66" s="21">
        <v>0</v>
      </c>
      <c r="D66" s="21">
        <v>1</v>
      </c>
      <c r="E66" s="22">
        <f t="shared" si="2"/>
        <v>11</v>
      </c>
      <c r="F66" s="19">
        <f t="shared" si="3"/>
        <v>3.5971223021582732</v>
      </c>
      <c r="G66" s="20" t="s">
        <v>1500</v>
      </c>
    </row>
    <row r="67" spans="1:7" x14ac:dyDescent="0.3">
      <c r="A67" s="11" t="s">
        <v>1501</v>
      </c>
      <c r="B67" s="23">
        <v>0</v>
      </c>
      <c r="C67" s="23">
        <v>0</v>
      </c>
      <c r="D67" s="23">
        <v>3</v>
      </c>
      <c r="E67" s="24">
        <f t="shared" si="2"/>
        <v>3</v>
      </c>
      <c r="F67" s="14">
        <f t="shared" si="3"/>
        <v>0</v>
      </c>
      <c r="G67" s="15" t="s">
        <v>1502</v>
      </c>
    </row>
    <row r="68" spans="1:7" x14ac:dyDescent="0.3">
      <c r="A68" s="16" t="s">
        <v>1503</v>
      </c>
      <c r="B68" s="21">
        <v>5</v>
      </c>
      <c r="C68" s="21">
        <v>0</v>
      </c>
      <c r="D68" s="21">
        <v>10</v>
      </c>
      <c r="E68" s="22">
        <f t="shared" si="2"/>
        <v>15</v>
      </c>
      <c r="F68" s="19">
        <f t="shared" si="3"/>
        <v>1.7985611510791366</v>
      </c>
      <c r="G68" s="20" t="s">
        <v>1504</v>
      </c>
    </row>
    <row r="69" spans="1:7" x14ac:dyDescent="0.3">
      <c r="A69" s="11" t="s">
        <v>1505</v>
      </c>
      <c r="B69" s="23">
        <v>2</v>
      </c>
      <c r="C69" s="23">
        <v>1</v>
      </c>
      <c r="D69" s="23">
        <v>2</v>
      </c>
      <c r="E69" s="24">
        <f t="shared" si="2"/>
        <v>5</v>
      </c>
      <c r="F69" s="14">
        <f t="shared" si="3"/>
        <v>0.71942446043165476</v>
      </c>
      <c r="G69" s="15" t="s">
        <v>1506</v>
      </c>
    </row>
    <row r="70" spans="1:7" x14ac:dyDescent="0.3">
      <c r="A70" s="16" t="s">
        <v>1507</v>
      </c>
      <c r="B70" s="21">
        <v>7</v>
      </c>
      <c r="C70" s="21">
        <v>5</v>
      </c>
      <c r="D70" s="21">
        <v>28</v>
      </c>
      <c r="E70" s="22">
        <f t="shared" si="2"/>
        <v>40</v>
      </c>
      <c r="F70" s="19">
        <f t="shared" si="3"/>
        <v>2.5179856115107913</v>
      </c>
      <c r="G70" s="20" t="s">
        <v>1508</v>
      </c>
    </row>
    <row r="71" spans="1:7" ht="23" x14ac:dyDescent="0.3">
      <c r="A71" s="11" t="s">
        <v>1509</v>
      </c>
      <c r="B71" s="23">
        <v>278</v>
      </c>
      <c r="C71" s="23">
        <v>30</v>
      </c>
      <c r="D71" s="23">
        <v>362</v>
      </c>
      <c r="E71" s="50">
        <f t="shared" si="2"/>
        <v>670</v>
      </c>
      <c r="F71" s="25"/>
      <c r="G71" s="15" t="s">
        <v>1510</v>
      </c>
    </row>
    <row r="73" spans="1:7" x14ac:dyDescent="0.3">
      <c r="A73" s="5" t="s">
        <v>1511</v>
      </c>
    </row>
    <row r="74" spans="1:7" ht="30" customHeight="1" x14ac:dyDescent="0.3">
      <c r="A74" s="9" t="s">
        <v>1512</v>
      </c>
      <c r="B74" s="10" t="s">
        <v>1461</v>
      </c>
      <c r="C74" s="10" t="s">
        <v>1464</v>
      </c>
      <c r="D74" s="10" t="s">
        <v>1465</v>
      </c>
      <c r="E74" s="10" t="s">
        <v>1513</v>
      </c>
      <c r="F74" s="10" t="s">
        <v>1514</v>
      </c>
      <c r="G74" s="10" t="s">
        <v>1515</v>
      </c>
    </row>
    <row r="75" spans="1:7" x14ac:dyDescent="0.3">
      <c r="A75" s="16" t="s">
        <v>1516</v>
      </c>
      <c r="B75" s="21">
        <v>867</v>
      </c>
      <c r="C75" s="21">
        <v>670</v>
      </c>
      <c r="D75" s="49">
        <v>3.218</v>
      </c>
      <c r="E75" s="49">
        <v>2.6459999999999999</v>
      </c>
      <c r="F75" s="49">
        <v>3.0569999999999999</v>
      </c>
      <c r="G75" s="52">
        <v>38.700000000000003</v>
      </c>
    </row>
    <row r="76" spans="1:7" x14ac:dyDescent="0.3">
      <c r="A76" s="11" t="s">
        <v>1446</v>
      </c>
      <c r="B76" s="23">
        <v>1200</v>
      </c>
      <c r="C76" s="23">
        <v>1171</v>
      </c>
      <c r="D76" s="48">
        <v>2.5819999999999999</v>
      </c>
      <c r="E76" s="48">
        <v>2.1070000000000002</v>
      </c>
      <c r="F76" s="48">
        <v>2.0710000000000002</v>
      </c>
      <c r="G76" s="44">
        <v>51.9</v>
      </c>
    </row>
    <row r="77" spans="1:7" x14ac:dyDescent="0.3">
      <c r="A77" s="16" t="s">
        <v>1447</v>
      </c>
      <c r="B77" s="21">
        <v>177</v>
      </c>
      <c r="C77" s="21">
        <v>177</v>
      </c>
      <c r="D77" s="49">
        <v>2.181</v>
      </c>
      <c r="E77" s="49">
        <v>2</v>
      </c>
      <c r="F77" s="49">
        <v>3.3330000000000002</v>
      </c>
      <c r="G77" s="52">
        <v>58.2</v>
      </c>
    </row>
    <row r="79" spans="1:7" x14ac:dyDescent="0.3">
      <c r="A79" s="5" t="s">
        <v>1517</v>
      </c>
    </row>
    <row r="80" spans="1:7" ht="30" customHeight="1" x14ac:dyDescent="0.3">
      <c r="A80" s="9" t="s">
        <v>1512</v>
      </c>
      <c r="B80" s="10" t="s">
        <v>1461</v>
      </c>
      <c r="C80" s="10" t="s">
        <v>1518</v>
      </c>
      <c r="D80" s="10" t="s">
        <v>1464</v>
      </c>
      <c r="E80" s="10" t="s">
        <v>1465</v>
      </c>
      <c r="F80" s="10" t="s">
        <v>1519</v>
      </c>
      <c r="G80" s="10" t="s">
        <v>1520</v>
      </c>
    </row>
    <row r="81" spans="1:7" x14ac:dyDescent="0.3">
      <c r="A81" s="16" t="s">
        <v>1516</v>
      </c>
      <c r="B81" s="21">
        <v>332</v>
      </c>
      <c r="C81" s="21">
        <v>73</v>
      </c>
      <c r="D81" s="21">
        <v>259</v>
      </c>
      <c r="E81" s="49">
        <v>2.9380000000000002</v>
      </c>
      <c r="F81" s="47">
        <v>4.04</v>
      </c>
      <c r="G81" s="20" t="s">
        <v>1521</v>
      </c>
    </row>
    <row r="82" spans="1:7" x14ac:dyDescent="0.3">
      <c r="A82" s="11" t="s">
        <v>1446</v>
      </c>
      <c r="B82" s="23">
        <v>518</v>
      </c>
      <c r="C82" s="23">
        <v>6</v>
      </c>
      <c r="D82" s="23">
        <v>512</v>
      </c>
      <c r="E82" s="48">
        <v>1.5289999999999999</v>
      </c>
      <c r="F82" s="46">
        <v>3.03</v>
      </c>
      <c r="G82" s="15" t="s">
        <v>1522</v>
      </c>
    </row>
    <row r="83" spans="1:7" ht="34.5" x14ac:dyDescent="0.3">
      <c r="A83" s="16" t="s">
        <v>1447</v>
      </c>
      <c r="B83" s="21">
        <v>205</v>
      </c>
      <c r="C83" s="21">
        <v>0</v>
      </c>
      <c r="D83" s="21">
        <v>205</v>
      </c>
      <c r="E83" s="49">
        <v>2.3119999999999998</v>
      </c>
      <c r="F83" s="47">
        <v>2.82</v>
      </c>
      <c r="G83" s="20" t="s">
        <v>1523</v>
      </c>
    </row>
    <row r="85" spans="1:7" x14ac:dyDescent="0.3">
      <c r="A85" s="5" t="s">
        <v>1524</v>
      </c>
    </row>
    <row r="86" spans="1:7" ht="30" customHeight="1" x14ac:dyDescent="0.3">
      <c r="A86" s="9" t="s">
        <v>1512</v>
      </c>
      <c r="B86" s="10" t="s">
        <v>1525</v>
      </c>
      <c r="C86" s="10" t="s">
        <v>1526</v>
      </c>
      <c r="D86" s="10" t="s">
        <v>1527</v>
      </c>
      <c r="E86" s="10" t="s">
        <v>1528</v>
      </c>
      <c r="F86" s="10" t="s">
        <v>1529</v>
      </c>
      <c r="G86" s="10" t="s">
        <v>1530</v>
      </c>
    </row>
    <row r="87" spans="1:7" x14ac:dyDescent="0.3">
      <c r="A87" s="16" t="s">
        <v>1516</v>
      </c>
      <c r="B87" s="21">
        <v>228</v>
      </c>
      <c r="C87" s="49">
        <v>2.7719999999999998</v>
      </c>
      <c r="D87" s="52">
        <v>50</v>
      </c>
      <c r="E87" s="21">
        <v>83</v>
      </c>
      <c r="F87" s="49">
        <v>2.2530000000000001</v>
      </c>
      <c r="G87" s="52">
        <v>59</v>
      </c>
    </row>
    <row r="88" spans="1:7" x14ac:dyDescent="0.3">
      <c r="A88" s="11" t="s">
        <v>1446</v>
      </c>
      <c r="B88" s="23">
        <v>366</v>
      </c>
      <c r="C88" s="48">
        <v>2.0960000000000001</v>
      </c>
      <c r="D88" s="44">
        <v>63.4</v>
      </c>
      <c r="E88" s="23">
        <v>268</v>
      </c>
      <c r="F88" s="48">
        <v>1.474</v>
      </c>
      <c r="G88" s="44">
        <v>77.2</v>
      </c>
    </row>
    <row r="89" spans="1:7" x14ac:dyDescent="0.3">
      <c r="A89" s="16" t="s">
        <v>1447</v>
      </c>
      <c r="B89" s="21">
        <v>177</v>
      </c>
      <c r="C89" s="49">
        <v>2.181</v>
      </c>
      <c r="D89" s="52">
        <v>58.2</v>
      </c>
      <c r="E89" s="21">
        <v>205</v>
      </c>
      <c r="F89" s="49">
        <v>2.3119999999999998</v>
      </c>
      <c r="G89" s="52">
        <v>50.2</v>
      </c>
    </row>
    <row r="91" spans="1:7" x14ac:dyDescent="0.3">
      <c r="A91" s="5" t="s">
        <v>1531</v>
      </c>
    </row>
    <row r="92" spans="1:7" ht="30" customHeight="1" x14ac:dyDescent="0.3">
      <c r="A92" s="9" t="s">
        <v>1481</v>
      </c>
      <c r="B92" s="10" t="s">
        <v>1525</v>
      </c>
      <c r="C92" s="10" t="s">
        <v>1532</v>
      </c>
      <c r="D92" s="10" t="s">
        <v>1528</v>
      </c>
      <c r="E92" s="10" t="s">
        <v>1533</v>
      </c>
      <c r="F92" s="10" t="s">
        <v>1534</v>
      </c>
      <c r="G92" s="10" t="s">
        <v>154</v>
      </c>
    </row>
    <row r="93" spans="1:7" x14ac:dyDescent="0.3">
      <c r="A93" s="16" t="s">
        <v>1489</v>
      </c>
      <c r="B93" s="21">
        <v>32</v>
      </c>
      <c r="C93" s="19">
        <f t="shared" ref="C93:C103" si="4">B93/$B$104*100</f>
        <v>25.6</v>
      </c>
      <c r="D93" s="21">
        <v>20</v>
      </c>
      <c r="E93" s="19">
        <f t="shared" ref="E93:E103" si="5">D93/$D$104*100</f>
        <v>37.735849056603776</v>
      </c>
      <c r="F93" s="22">
        <f t="shared" ref="F93:F104" si="6">B93+D93</f>
        <v>52</v>
      </c>
      <c r="G93" s="20" t="s">
        <v>1490</v>
      </c>
    </row>
    <row r="94" spans="1:7" x14ac:dyDescent="0.3">
      <c r="A94" s="11" t="s">
        <v>1497</v>
      </c>
      <c r="B94" s="23">
        <v>34</v>
      </c>
      <c r="C94" s="14">
        <f t="shared" si="4"/>
        <v>27.200000000000003</v>
      </c>
      <c r="D94" s="23">
        <v>7</v>
      </c>
      <c r="E94" s="14">
        <f t="shared" si="5"/>
        <v>13.20754716981132</v>
      </c>
      <c r="F94" s="24">
        <f t="shared" si="6"/>
        <v>41</v>
      </c>
      <c r="G94" s="15" t="s">
        <v>1498</v>
      </c>
    </row>
    <row r="95" spans="1:7" x14ac:dyDescent="0.3">
      <c r="A95" s="16" t="s">
        <v>1487</v>
      </c>
      <c r="B95" s="21">
        <v>21</v>
      </c>
      <c r="C95" s="19">
        <f t="shared" si="4"/>
        <v>16.8</v>
      </c>
      <c r="D95" s="21">
        <v>11</v>
      </c>
      <c r="E95" s="19">
        <f t="shared" si="5"/>
        <v>20.754716981132077</v>
      </c>
      <c r="F95" s="22">
        <f t="shared" si="6"/>
        <v>32</v>
      </c>
      <c r="G95" s="20" t="s">
        <v>1488</v>
      </c>
    </row>
    <row r="96" spans="1:7" x14ac:dyDescent="0.3">
      <c r="A96" s="11" t="s">
        <v>1493</v>
      </c>
      <c r="B96" s="23">
        <v>18</v>
      </c>
      <c r="C96" s="14">
        <f t="shared" si="4"/>
        <v>14.399999999999999</v>
      </c>
      <c r="D96" s="23">
        <v>3</v>
      </c>
      <c r="E96" s="14">
        <f t="shared" si="5"/>
        <v>5.6603773584905666</v>
      </c>
      <c r="F96" s="24">
        <f t="shared" si="6"/>
        <v>21</v>
      </c>
      <c r="G96" s="15" t="s">
        <v>1494</v>
      </c>
    </row>
    <row r="97" spans="1:7" x14ac:dyDescent="0.3">
      <c r="A97" s="16" t="s">
        <v>1491</v>
      </c>
      <c r="B97" s="21">
        <v>9</v>
      </c>
      <c r="C97" s="19">
        <f t="shared" si="4"/>
        <v>7.1999999999999993</v>
      </c>
      <c r="D97" s="21">
        <v>5</v>
      </c>
      <c r="E97" s="19">
        <f t="shared" si="5"/>
        <v>9.433962264150944</v>
      </c>
      <c r="F97" s="22">
        <f t="shared" si="6"/>
        <v>14</v>
      </c>
      <c r="G97" s="20" t="s">
        <v>1492</v>
      </c>
    </row>
    <row r="98" spans="1:7" x14ac:dyDescent="0.3">
      <c r="A98" s="11" t="s">
        <v>1499</v>
      </c>
      <c r="B98" s="23">
        <v>7</v>
      </c>
      <c r="C98" s="14">
        <f t="shared" si="4"/>
        <v>5.6000000000000005</v>
      </c>
      <c r="D98" s="23">
        <v>1</v>
      </c>
      <c r="E98" s="14">
        <f t="shared" si="5"/>
        <v>1.8867924528301887</v>
      </c>
      <c r="F98" s="24">
        <f t="shared" si="6"/>
        <v>8</v>
      </c>
      <c r="G98" s="15" t="s">
        <v>1500</v>
      </c>
    </row>
    <row r="99" spans="1:7" x14ac:dyDescent="0.3">
      <c r="A99" s="16" t="s">
        <v>1503</v>
      </c>
      <c r="B99" s="21">
        <v>3</v>
      </c>
      <c r="C99" s="19">
        <f t="shared" si="4"/>
        <v>2.4</v>
      </c>
      <c r="D99" s="21">
        <v>1</v>
      </c>
      <c r="E99" s="19">
        <f t="shared" si="5"/>
        <v>1.8867924528301887</v>
      </c>
      <c r="F99" s="22">
        <f t="shared" si="6"/>
        <v>4</v>
      </c>
      <c r="G99" s="20" t="s">
        <v>1504</v>
      </c>
    </row>
    <row r="100" spans="1:7" x14ac:dyDescent="0.3">
      <c r="A100" s="11" t="s">
        <v>1507</v>
      </c>
      <c r="B100" s="23">
        <v>2</v>
      </c>
      <c r="C100" s="14">
        <f t="shared" si="4"/>
        <v>1.6</v>
      </c>
      <c r="D100" s="23">
        <v>2</v>
      </c>
      <c r="E100" s="14">
        <f t="shared" si="5"/>
        <v>3.7735849056603774</v>
      </c>
      <c r="F100" s="24">
        <f t="shared" si="6"/>
        <v>4</v>
      </c>
      <c r="G100" s="15" t="s">
        <v>1508</v>
      </c>
    </row>
    <row r="101" spans="1:7" x14ac:dyDescent="0.3">
      <c r="A101" s="16" t="s">
        <v>1495</v>
      </c>
      <c r="B101" s="21">
        <v>3</v>
      </c>
      <c r="C101" s="19">
        <f t="shared" si="4"/>
        <v>2.4</v>
      </c>
      <c r="D101" s="21">
        <v>0</v>
      </c>
      <c r="E101" s="19">
        <f t="shared" si="5"/>
        <v>0</v>
      </c>
      <c r="F101" s="22">
        <f t="shared" si="6"/>
        <v>3</v>
      </c>
      <c r="G101" s="20" t="s">
        <v>1496</v>
      </c>
    </row>
    <row r="102" spans="1:7" x14ac:dyDescent="0.3">
      <c r="A102" s="11" t="s">
        <v>1505</v>
      </c>
      <c r="B102" s="23">
        <v>2</v>
      </c>
      <c r="C102" s="14">
        <f t="shared" si="4"/>
        <v>1.6</v>
      </c>
      <c r="D102" s="23">
        <v>0</v>
      </c>
      <c r="E102" s="14">
        <f t="shared" si="5"/>
        <v>0</v>
      </c>
      <c r="F102" s="24">
        <f t="shared" si="6"/>
        <v>2</v>
      </c>
      <c r="G102" s="15" t="s">
        <v>1506</v>
      </c>
    </row>
    <row r="103" spans="1:7" x14ac:dyDescent="0.3">
      <c r="A103" s="16" t="s">
        <v>1501</v>
      </c>
      <c r="B103" s="21">
        <v>0</v>
      </c>
      <c r="C103" s="19">
        <f t="shared" si="4"/>
        <v>0</v>
      </c>
      <c r="D103" s="21">
        <v>0</v>
      </c>
      <c r="E103" s="19">
        <f t="shared" si="5"/>
        <v>0</v>
      </c>
      <c r="F103" s="22">
        <f t="shared" si="6"/>
        <v>0</v>
      </c>
      <c r="G103" s="20" t="s">
        <v>1502</v>
      </c>
    </row>
    <row r="104" spans="1:7" x14ac:dyDescent="0.3">
      <c r="A104" s="11" t="s">
        <v>1535</v>
      </c>
      <c r="B104" s="23">
        <v>125</v>
      </c>
      <c r="D104" s="23">
        <v>53</v>
      </c>
      <c r="F104" s="50">
        <f t="shared" si="6"/>
        <v>178</v>
      </c>
      <c r="G104" s="36" t="s">
        <v>1536</v>
      </c>
    </row>
    <row r="105" spans="1:7" x14ac:dyDescent="0.3">
      <c r="A105" s="25" t="s">
        <v>1537</v>
      </c>
      <c r="B105" s="23">
        <v>47</v>
      </c>
      <c r="C105" s="14">
        <f>B105/$B$104*100</f>
        <v>37.6</v>
      </c>
      <c r="D105" s="23">
        <v>27</v>
      </c>
      <c r="E105" s="14">
        <f>D105/$D$104*100</f>
        <v>50.943396226415096</v>
      </c>
      <c r="G105" s="15" t="s">
        <v>1538</v>
      </c>
    </row>
    <row r="106" spans="1:7" x14ac:dyDescent="0.3">
      <c r="A106" s="25" t="s">
        <v>1539</v>
      </c>
      <c r="B106" s="23">
        <v>43</v>
      </c>
      <c r="C106" s="14">
        <f>B106/$B$104*100</f>
        <v>34.4</v>
      </c>
      <c r="D106" s="23">
        <v>8</v>
      </c>
      <c r="E106" s="14">
        <f>D106/$D$104*100</f>
        <v>15.09433962264151</v>
      </c>
      <c r="G106" s="15" t="s">
        <v>1538</v>
      </c>
    </row>
    <row r="108" spans="1:7" x14ac:dyDescent="0.3">
      <c r="A108" s="5" t="s">
        <v>1540</v>
      </c>
    </row>
    <row r="109" spans="1:7" ht="30" customHeight="1" x14ac:dyDescent="0.3">
      <c r="A109" s="9" t="s">
        <v>1460</v>
      </c>
      <c r="B109" s="10" t="s">
        <v>1461</v>
      </c>
      <c r="C109" s="10" t="s">
        <v>1464</v>
      </c>
      <c r="D109" s="10" t="s">
        <v>1465</v>
      </c>
      <c r="E109" s="10"/>
      <c r="F109" s="10"/>
      <c r="G109" s="10" t="s">
        <v>1326</v>
      </c>
    </row>
    <row r="110" spans="1:7" x14ac:dyDescent="0.3">
      <c r="A110" s="11" t="s">
        <v>1339</v>
      </c>
      <c r="B110" s="23">
        <v>2</v>
      </c>
      <c r="C110" s="23">
        <v>2</v>
      </c>
      <c r="D110" s="48">
        <v>5</v>
      </c>
      <c r="G110" s="36" t="s">
        <v>1541</v>
      </c>
    </row>
    <row r="111" spans="1:7" x14ac:dyDescent="0.3">
      <c r="A111" s="11" t="s">
        <v>1340</v>
      </c>
      <c r="B111" s="23">
        <v>30</v>
      </c>
      <c r="C111" s="23">
        <v>26</v>
      </c>
      <c r="D111" s="48">
        <v>2.7690000000000001</v>
      </c>
      <c r="G111" s="36" t="s">
        <v>1541</v>
      </c>
    </row>
    <row r="112" spans="1:7" x14ac:dyDescent="0.3">
      <c r="A112" s="11" t="s">
        <v>1341</v>
      </c>
      <c r="B112" s="23">
        <v>68</v>
      </c>
      <c r="C112" s="23">
        <v>30</v>
      </c>
      <c r="D112" s="48">
        <v>2.4</v>
      </c>
      <c r="G112" s="36" t="s">
        <v>1541</v>
      </c>
    </row>
    <row r="113" spans="1:7" x14ac:dyDescent="0.3">
      <c r="A113" s="11" t="s">
        <v>1342</v>
      </c>
      <c r="B113" s="23">
        <v>100</v>
      </c>
      <c r="C113" s="23">
        <v>90</v>
      </c>
      <c r="D113" s="48">
        <v>3.9220000000000002</v>
      </c>
      <c r="G113" s="36" t="s">
        <v>1541</v>
      </c>
    </row>
    <row r="114" spans="1:7" x14ac:dyDescent="0.3">
      <c r="A114" s="11" t="s">
        <v>1343</v>
      </c>
      <c r="B114" s="23">
        <v>29</v>
      </c>
      <c r="C114" s="23">
        <v>28</v>
      </c>
      <c r="D114" s="48">
        <v>2.3929999999999998</v>
      </c>
      <c r="G114" s="36" t="s">
        <v>1541</v>
      </c>
    </row>
    <row r="115" spans="1:7" x14ac:dyDescent="0.3">
      <c r="A115" s="11" t="s">
        <v>1344</v>
      </c>
      <c r="B115" s="23">
        <v>65</v>
      </c>
      <c r="C115" s="23">
        <v>48</v>
      </c>
      <c r="D115" s="48">
        <v>2.4380000000000002</v>
      </c>
      <c r="G115" s="36"/>
    </row>
    <row r="116" spans="1:7" x14ac:dyDescent="0.3">
      <c r="A116" s="11" t="s">
        <v>1345</v>
      </c>
      <c r="B116" s="23">
        <v>38</v>
      </c>
      <c r="C116" s="23">
        <v>35</v>
      </c>
      <c r="D116" s="48">
        <v>2</v>
      </c>
      <c r="G116" s="36"/>
    </row>
  </sheetData>
  <mergeCells count="9">
    <mergeCell ref="B13:G13"/>
    <mergeCell ref="B7:G7"/>
    <mergeCell ref="B11:G11"/>
    <mergeCell ref="B6:G6"/>
    <mergeCell ref="B10:G10"/>
    <mergeCell ref="B5:G5"/>
    <mergeCell ref="B9:G9"/>
    <mergeCell ref="B8:G8"/>
    <mergeCell ref="B12:G12"/>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54"/>
  <sheetViews>
    <sheetView showGridLines="0" workbookViewId="0">
      <pane ySplit="4" topLeftCell="A5" activePane="bottomLeft" state="frozen"/>
      <selection pane="bottomLeft"/>
    </sheetView>
  </sheetViews>
  <sheetFormatPr defaultRowHeight="14" x14ac:dyDescent="0.3"/>
  <cols>
    <col min="1" max="1" width="12" customWidth="1"/>
    <col min="2" max="2" width="9" customWidth="1"/>
    <col min="3" max="3" width="13" customWidth="1"/>
    <col min="4" max="4" width="11" customWidth="1"/>
    <col min="5" max="5" width="26" customWidth="1"/>
    <col min="6" max="6" width="96" customWidth="1"/>
  </cols>
  <sheetData>
    <row r="1" spans="1:6" ht="18" x14ac:dyDescent="0.4">
      <c r="A1" s="1" t="s">
        <v>1542</v>
      </c>
    </row>
    <row r="2" spans="1:6" x14ac:dyDescent="0.3">
      <c r="A2" s="8" t="s">
        <v>1543</v>
      </c>
    </row>
    <row r="4" spans="1:6" ht="30" customHeight="1" x14ac:dyDescent="0.3">
      <c r="A4" s="9" t="s">
        <v>1544</v>
      </c>
      <c r="B4" s="10" t="s">
        <v>1545</v>
      </c>
      <c r="C4" s="10" t="s">
        <v>1546</v>
      </c>
      <c r="D4" s="10" t="s">
        <v>1547</v>
      </c>
      <c r="E4" s="10" t="s">
        <v>1548</v>
      </c>
      <c r="F4" s="10" t="s">
        <v>1549</v>
      </c>
    </row>
    <row r="5" spans="1:6" ht="25" x14ac:dyDescent="0.3">
      <c r="A5" s="25" t="s">
        <v>1550</v>
      </c>
      <c r="B5" s="53">
        <v>1</v>
      </c>
      <c r="C5" s="25" t="s">
        <v>1551</v>
      </c>
      <c r="D5" s="24">
        <v>54</v>
      </c>
      <c r="E5" s="54" t="s">
        <v>1552</v>
      </c>
      <c r="F5" s="54" t="s">
        <v>1553</v>
      </c>
    </row>
    <row r="6" spans="1:6" ht="25" x14ac:dyDescent="0.3">
      <c r="A6" s="26" t="s">
        <v>1554</v>
      </c>
      <c r="B6" s="55">
        <v>1</v>
      </c>
      <c r="C6" s="26" t="s">
        <v>1555</v>
      </c>
      <c r="D6" s="22">
        <v>28</v>
      </c>
      <c r="E6" s="56" t="s">
        <v>1487</v>
      </c>
      <c r="F6" s="56" t="s">
        <v>1556</v>
      </c>
    </row>
    <row r="7" spans="1:6" x14ac:dyDescent="0.3">
      <c r="A7" s="25" t="s">
        <v>1557</v>
      </c>
      <c r="B7" s="53">
        <v>1</v>
      </c>
      <c r="C7" s="25" t="s">
        <v>1558</v>
      </c>
      <c r="D7" s="24">
        <v>25</v>
      </c>
      <c r="E7" s="54" t="s">
        <v>1487</v>
      </c>
      <c r="F7" s="54" t="s">
        <v>1559</v>
      </c>
    </row>
    <row r="8" spans="1:6" x14ac:dyDescent="0.3">
      <c r="A8" s="26" t="s">
        <v>1560</v>
      </c>
      <c r="B8" s="55">
        <v>1</v>
      </c>
      <c r="C8" s="26" t="s">
        <v>1561</v>
      </c>
      <c r="D8" s="22">
        <v>22</v>
      </c>
      <c r="E8" s="56" t="s">
        <v>1487</v>
      </c>
      <c r="F8" s="56" t="s">
        <v>1562</v>
      </c>
    </row>
    <row r="9" spans="1:6" x14ac:dyDescent="0.3">
      <c r="A9" s="25" t="s">
        <v>1563</v>
      </c>
      <c r="B9" s="53">
        <v>1</v>
      </c>
      <c r="C9" s="25" t="s">
        <v>1564</v>
      </c>
      <c r="D9" s="24">
        <v>20</v>
      </c>
      <c r="E9" s="54" t="s">
        <v>1487</v>
      </c>
      <c r="F9" s="54" t="s">
        <v>1565</v>
      </c>
    </row>
    <row r="10" spans="1:6" ht="25" x14ac:dyDescent="0.3">
      <c r="A10" s="26" t="s">
        <v>1566</v>
      </c>
      <c r="B10" s="55">
        <v>2</v>
      </c>
      <c r="C10" s="26" t="s">
        <v>1567</v>
      </c>
      <c r="D10" s="22">
        <v>18</v>
      </c>
      <c r="E10" s="56" t="s">
        <v>1568</v>
      </c>
      <c r="F10" s="56" t="s">
        <v>1569</v>
      </c>
    </row>
    <row r="11" spans="1:6" ht="25" x14ac:dyDescent="0.3">
      <c r="A11" s="25" t="s">
        <v>1570</v>
      </c>
      <c r="B11" s="53">
        <v>1</v>
      </c>
      <c r="C11" s="25" t="s">
        <v>1571</v>
      </c>
      <c r="D11" s="24">
        <v>18</v>
      </c>
      <c r="E11" s="54" t="s">
        <v>1572</v>
      </c>
      <c r="F11" s="54" t="s">
        <v>1573</v>
      </c>
    </row>
    <row r="12" spans="1:6" x14ac:dyDescent="0.3">
      <c r="A12" s="26" t="s">
        <v>1574</v>
      </c>
      <c r="B12" s="55">
        <v>1</v>
      </c>
      <c r="C12" s="26" t="s">
        <v>1575</v>
      </c>
      <c r="D12" s="22">
        <v>17</v>
      </c>
      <c r="E12" s="56" t="s">
        <v>1576</v>
      </c>
      <c r="F12" s="56" t="s">
        <v>1577</v>
      </c>
    </row>
    <row r="13" spans="1:6" x14ac:dyDescent="0.3">
      <c r="A13" s="25" t="s">
        <v>1578</v>
      </c>
      <c r="B13" s="53">
        <v>1</v>
      </c>
      <c r="C13" s="25" t="s">
        <v>1579</v>
      </c>
      <c r="D13" s="24">
        <v>16</v>
      </c>
      <c r="E13" s="54" t="s">
        <v>1576</v>
      </c>
      <c r="F13" s="54" t="s">
        <v>1580</v>
      </c>
    </row>
    <row r="14" spans="1:6" x14ac:dyDescent="0.3">
      <c r="A14" s="26" t="s">
        <v>1581</v>
      </c>
      <c r="B14" s="55">
        <v>1</v>
      </c>
      <c r="C14" s="26" t="s">
        <v>1582</v>
      </c>
      <c r="D14" s="22">
        <v>15</v>
      </c>
      <c r="E14" s="56" t="s">
        <v>1489</v>
      </c>
      <c r="F14" s="56" t="s">
        <v>1583</v>
      </c>
    </row>
    <row r="15" spans="1:6" x14ac:dyDescent="0.3">
      <c r="A15" s="25" t="s">
        <v>1584</v>
      </c>
      <c r="B15" s="53">
        <v>1</v>
      </c>
      <c r="C15" s="25" t="s">
        <v>1585</v>
      </c>
      <c r="D15" s="24">
        <v>50</v>
      </c>
      <c r="E15" s="54" t="s">
        <v>1586</v>
      </c>
      <c r="F15" s="54" t="s">
        <v>1587</v>
      </c>
    </row>
    <row r="16" spans="1:6" x14ac:dyDescent="0.3">
      <c r="A16" s="26" t="s">
        <v>1588</v>
      </c>
      <c r="B16" s="55">
        <v>1</v>
      </c>
      <c r="C16" s="26" t="s">
        <v>1589</v>
      </c>
      <c r="D16" s="22">
        <v>20</v>
      </c>
      <c r="E16" s="56" t="s">
        <v>1491</v>
      </c>
      <c r="F16" s="56" t="s">
        <v>1590</v>
      </c>
    </row>
    <row r="17" spans="1:6" ht="25" x14ac:dyDescent="0.3">
      <c r="A17" s="25" t="s">
        <v>1591</v>
      </c>
      <c r="B17" s="53">
        <v>1</v>
      </c>
      <c r="C17" s="25" t="s">
        <v>1592</v>
      </c>
      <c r="D17" s="24">
        <v>9</v>
      </c>
      <c r="E17" s="54" t="s">
        <v>1568</v>
      </c>
      <c r="F17" s="54" t="s">
        <v>1593</v>
      </c>
    </row>
    <row r="18" spans="1:6" x14ac:dyDescent="0.3">
      <c r="A18" s="26" t="s">
        <v>1594</v>
      </c>
      <c r="B18" s="55">
        <v>1</v>
      </c>
      <c r="C18" s="26" t="s">
        <v>1595</v>
      </c>
      <c r="D18" s="22">
        <v>7</v>
      </c>
      <c r="E18" s="56" t="s">
        <v>1568</v>
      </c>
      <c r="F18" s="56" t="s">
        <v>1596</v>
      </c>
    </row>
    <row r="19" spans="1:6" ht="25" x14ac:dyDescent="0.3">
      <c r="A19" s="25" t="s">
        <v>1597</v>
      </c>
      <c r="B19" s="53">
        <v>1</v>
      </c>
      <c r="C19" s="25" t="s">
        <v>1598</v>
      </c>
      <c r="D19" s="24">
        <v>58</v>
      </c>
      <c r="E19" s="54" t="s">
        <v>1599</v>
      </c>
      <c r="F19" s="54" t="s">
        <v>1600</v>
      </c>
    </row>
    <row r="20" spans="1:6" x14ac:dyDescent="0.3">
      <c r="A20" s="26" t="s">
        <v>1601</v>
      </c>
      <c r="B20" s="55">
        <v>1</v>
      </c>
      <c r="C20" s="26" t="s">
        <v>1602</v>
      </c>
      <c r="D20" s="22">
        <v>43</v>
      </c>
      <c r="E20" s="56" t="s">
        <v>1493</v>
      </c>
      <c r="F20" s="56" t="s">
        <v>1603</v>
      </c>
    </row>
    <row r="21" spans="1:6" ht="25" x14ac:dyDescent="0.3">
      <c r="A21" s="25" t="s">
        <v>1604</v>
      </c>
      <c r="B21" s="53">
        <v>1</v>
      </c>
      <c r="C21" s="25" t="s">
        <v>1605</v>
      </c>
      <c r="D21" s="24">
        <v>32</v>
      </c>
      <c r="E21" s="54" t="s">
        <v>1493</v>
      </c>
      <c r="F21" s="54" t="s">
        <v>1606</v>
      </c>
    </row>
    <row r="22" spans="1:6" x14ac:dyDescent="0.3">
      <c r="A22" s="26" t="s">
        <v>1607</v>
      </c>
      <c r="B22" s="55">
        <v>1</v>
      </c>
      <c r="C22" s="26" t="s">
        <v>1608</v>
      </c>
      <c r="D22" s="22">
        <v>26</v>
      </c>
      <c r="E22" s="56" t="s">
        <v>1609</v>
      </c>
      <c r="F22" s="56" t="s">
        <v>1610</v>
      </c>
    </row>
    <row r="23" spans="1:6" x14ac:dyDescent="0.3">
      <c r="A23" s="25" t="s">
        <v>1611</v>
      </c>
      <c r="B23" s="53">
        <v>1</v>
      </c>
      <c r="C23" s="25" t="s">
        <v>1612</v>
      </c>
      <c r="D23" s="24">
        <v>24</v>
      </c>
      <c r="E23" s="54" t="s">
        <v>1613</v>
      </c>
      <c r="F23" s="54" t="s">
        <v>1614</v>
      </c>
    </row>
    <row r="24" spans="1:6" x14ac:dyDescent="0.3">
      <c r="A24" s="26" t="s">
        <v>1615</v>
      </c>
      <c r="B24" s="55">
        <v>2</v>
      </c>
      <c r="C24" s="26" t="s">
        <v>1616</v>
      </c>
      <c r="D24" s="22">
        <v>22</v>
      </c>
      <c r="E24" s="56" t="s">
        <v>1495</v>
      </c>
      <c r="F24" s="56" t="s">
        <v>1617</v>
      </c>
    </row>
    <row r="25" spans="1:6" x14ac:dyDescent="0.3">
      <c r="A25" s="25" t="s">
        <v>1618</v>
      </c>
      <c r="B25" s="53">
        <v>1</v>
      </c>
      <c r="C25" s="25" t="s">
        <v>1619</v>
      </c>
      <c r="D25" s="24">
        <v>1</v>
      </c>
      <c r="E25" s="54" t="s">
        <v>1489</v>
      </c>
      <c r="F25" s="54" t="s">
        <v>1620</v>
      </c>
    </row>
    <row r="26" spans="1:6" x14ac:dyDescent="0.3">
      <c r="A26" s="26" t="s">
        <v>1621</v>
      </c>
      <c r="B26" s="55">
        <v>1</v>
      </c>
      <c r="C26" s="26" t="s">
        <v>1622</v>
      </c>
      <c r="D26" s="22">
        <v>0</v>
      </c>
      <c r="E26" s="56" t="s">
        <v>1497</v>
      </c>
      <c r="F26" s="56" t="s">
        <v>1623</v>
      </c>
    </row>
    <row r="27" spans="1:6" x14ac:dyDescent="0.3">
      <c r="A27" s="25" t="s">
        <v>1624</v>
      </c>
      <c r="B27" s="53">
        <v>1</v>
      </c>
      <c r="C27" s="25" t="s">
        <v>1625</v>
      </c>
      <c r="D27" s="24">
        <v>50</v>
      </c>
      <c r="E27" s="54" t="s">
        <v>1497</v>
      </c>
      <c r="F27" s="54" t="s">
        <v>1626</v>
      </c>
    </row>
    <row r="28" spans="1:6" x14ac:dyDescent="0.3">
      <c r="A28" s="26" t="s">
        <v>1627</v>
      </c>
      <c r="B28" s="55">
        <v>1</v>
      </c>
      <c r="C28" s="26" t="s">
        <v>1608</v>
      </c>
      <c r="D28" s="22">
        <v>46</v>
      </c>
      <c r="E28" s="56" t="s">
        <v>1628</v>
      </c>
      <c r="F28" s="56" t="s">
        <v>1629</v>
      </c>
    </row>
    <row r="29" spans="1:6" x14ac:dyDescent="0.3">
      <c r="A29" s="25" t="s">
        <v>1630</v>
      </c>
      <c r="B29" s="53">
        <v>1</v>
      </c>
      <c r="C29" s="25" t="s">
        <v>1631</v>
      </c>
      <c r="D29" s="24">
        <v>42</v>
      </c>
      <c r="E29" s="54" t="s">
        <v>1497</v>
      </c>
      <c r="F29" s="54" t="s">
        <v>1632</v>
      </c>
    </row>
    <row r="30" spans="1:6" x14ac:dyDescent="0.3">
      <c r="A30" s="26" t="s">
        <v>1633</v>
      </c>
      <c r="B30" s="55">
        <v>1</v>
      </c>
      <c r="C30" s="26" t="s">
        <v>1634</v>
      </c>
      <c r="D30" s="22">
        <v>46</v>
      </c>
      <c r="E30" s="56" t="s">
        <v>1499</v>
      </c>
      <c r="F30" s="56" t="s">
        <v>1635</v>
      </c>
    </row>
    <row r="31" spans="1:6" ht="25" x14ac:dyDescent="0.3">
      <c r="A31" s="25" t="s">
        <v>1636</v>
      </c>
      <c r="B31" s="53">
        <v>1</v>
      </c>
      <c r="C31" s="25" t="s">
        <v>1637</v>
      </c>
      <c r="D31" s="24">
        <v>17</v>
      </c>
      <c r="E31" s="54" t="s">
        <v>1638</v>
      </c>
      <c r="F31" s="54" t="s">
        <v>1639</v>
      </c>
    </row>
    <row r="32" spans="1:6" x14ac:dyDescent="0.3">
      <c r="A32" s="26" t="s">
        <v>1640</v>
      </c>
      <c r="B32" s="55">
        <v>1</v>
      </c>
      <c r="C32" s="26" t="s">
        <v>1641</v>
      </c>
      <c r="D32" s="22">
        <v>10</v>
      </c>
      <c r="E32" s="56" t="s">
        <v>1499</v>
      </c>
      <c r="F32" s="56" t="s">
        <v>1642</v>
      </c>
    </row>
    <row r="33" spans="1:6" x14ac:dyDescent="0.3">
      <c r="A33" s="25" t="s">
        <v>1643</v>
      </c>
      <c r="B33" s="53">
        <v>1</v>
      </c>
      <c r="C33" s="25" t="s">
        <v>1644</v>
      </c>
      <c r="D33" s="24">
        <v>8</v>
      </c>
      <c r="E33" s="54" t="s">
        <v>1499</v>
      </c>
      <c r="F33" s="54" t="s">
        <v>1645</v>
      </c>
    </row>
    <row r="34" spans="1:6" x14ac:dyDescent="0.3">
      <c r="A34" s="26" t="s">
        <v>1646</v>
      </c>
      <c r="B34" s="55">
        <v>1</v>
      </c>
      <c r="C34" s="26" t="s">
        <v>1647</v>
      </c>
      <c r="D34" s="22">
        <v>17</v>
      </c>
      <c r="E34" s="56" t="s">
        <v>1503</v>
      </c>
      <c r="F34" s="56" t="s">
        <v>1648</v>
      </c>
    </row>
    <row r="35" spans="1:6" ht="25" x14ac:dyDescent="0.3">
      <c r="A35" s="25" t="s">
        <v>1649</v>
      </c>
      <c r="B35" s="53">
        <v>1</v>
      </c>
      <c r="C35" s="25" t="s">
        <v>1650</v>
      </c>
      <c r="D35" s="24">
        <v>4</v>
      </c>
      <c r="E35" s="54" t="s">
        <v>1651</v>
      </c>
      <c r="F35" s="54" t="s">
        <v>1652</v>
      </c>
    </row>
    <row r="36" spans="1:6" x14ac:dyDescent="0.3">
      <c r="A36" s="26" t="s">
        <v>1653</v>
      </c>
      <c r="B36" s="55">
        <v>1</v>
      </c>
      <c r="C36" s="26" t="s">
        <v>1654</v>
      </c>
      <c r="D36" s="22">
        <v>3</v>
      </c>
      <c r="E36" s="56" t="s">
        <v>1503</v>
      </c>
      <c r="F36" s="56" t="s">
        <v>1655</v>
      </c>
    </row>
    <row r="37" spans="1:6" x14ac:dyDescent="0.3">
      <c r="A37" s="25" t="s">
        <v>1656</v>
      </c>
      <c r="B37" s="53">
        <v>1</v>
      </c>
      <c r="C37" s="25" t="s">
        <v>1657</v>
      </c>
      <c r="D37" s="24">
        <v>0</v>
      </c>
      <c r="E37" s="54" t="s">
        <v>1503</v>
      </c>
      <c r="F37" s="54" t="s">
        <v>1658</v>
      </c>
    </row>
    <row r="38" spans="1:6" x14ac:dyDescent="0.3">
      <c r="A38" s="26" t="s">
        <v>1659</v>
      </c>
      <c r="B38" s="55">
        <v>1</v>
      </c>
      <c r="C38" s="26" t="s">
        <v>1660</v>
      </c>
      <c r="D38" s="22">
        <v>0</v>
      </c>
      <c r="E38" s="56" t="s">
        <v>1661</v>
      </c>
      <c r="F38" s="56" t="s">
        <v>1662</v>
      </c>
    </row>
    <row r="39" spans="1:6" ht="25" x14ac:dyDescent="0.3">
      <c r="A39" s="25" t="s">
        <v>1663</v>
      </c>
      <c r="B39" s="53">
        <v>1</v>
      </c>
      <c r="C39" s="25" t="s">
        <v>1664</v>
      </c>
      <c r="D39" s="24">
        <v>15</v>
      </c>
      <c r="E39" s="54" t="s">
        <v>1505</v>
      </c>
      <c r="F39" s="54" t="s">
        <v>1665</v>
      </c>
    </row>
    <row r="40" spans="1:6" ht="25" x14ac:dyDescent="0.3">
      <c r="A40" s="26" t="s">
        <v>1666</v>
      </c>
      <c r="B40" s="55">
        <v>1</v>
      </c>
      <c r="C40" s="26" t="s">
        <v>1667</v>
      </c>
      <c r="D40" s="22">
        <v>5</v>
      </c>
      <c r="E40" s="56" t="s">
        <v>1668</v>
      </c>
      <c r="F40" s="56" t="s">
        <v>1669</v>
      </c>
    </row>
    <row r="41" spans="1:6" ht="25" x14ac:dyDescent="0.3">
      <c r="A41" s="25" t="s">
        <v>1670</v>
      </c>
      <c r="B41" s="53">
        <v>1</v>
      </c>
      <c r="C41" s="25" t="s">
        <v>1671</v>
      </c>
      <c r="D41" s="24">
        <v>1</v>
      </c>
      <c r="E41" s="54" t="s">
        <v>1672</v>
      </c>
      <c r="F41" s="54" t="s">
        <v>1673</v>
      </c>
    </row>
    <row r="42" spans="1:6" x14ac:dyDescent="0.3">
      <c r="A42" s="26" t="s">
        <v>1674</v>
      </c>
      <c r="B42" s="55">
        <v>1</v>
      </c>
      <c r="C42" s="26" t="s">
        <v>1675</v>
      </c>
      <c r="D42" s="22">
        <v>0</v>
      </c>
      <c r="E42" s="56" t="s">
        <v>1507</v>
      </c>
      <c r="F42" s="56" t="s">
        <v>1676</v>
      </c>
    </row>
    <row r="43" spans="1:6" ht="25" x14ac:dyDescent="0.3">
      <c r="A43" s="25" t="s">
        <v>1677</v>
      </c>
      <c r="B43" s="53">
        <v>5</v>
      </c>
      <c r="C43" s="25" t="s">
        <v>1678</v>
      </c>
      <c r="D43" s="24">
        <v>13</v>
      </c>
      <c r="E43" s="54" t="s">
        <v>1679</v>
      </c>
      <c r="F43" s="54" t="s">
        <v>1680</v>
      </c>
    </row>
    <row r="44" spans="1:6" x14ac:dyDescent="0.3">
      <c r="A44" s="26" t="s">
        <v>1681</v>
      </c>
      <c r="B44" s="55">
        <v>4</v>
      </c>
      <c r="C44" s="26" t="s">
        <v>1682</v>
      </c>
      <c r="D44" s="22">
        <v>0</v>
      </c>
      <c r="E44" s="56" t="s">
        <v>1501</v>
      </c>
      <c r="F44" s="56" t="s">
        <v>1683</v>
      </c>
    </row>
    <row r="45" spans="1:6" ht="25" x14ac:dyDescent="0.3">
      <c r="A45" s="25" t="s">
        <v>1684</v>
      </c>
      <c r="B45" s="53">
        <v>5</v>
      </c>
      <c r="C45" s="25" t="s">
        <v>1685</v>
      </c>
      <c r="D45" s="24">
        <v>0</v>
      </c>
      <c r="E45" s="54" t="s">
        <v>1686</v>
      </c>
      <c r="F45" s="54" t="s">
        <v>1687</v>
      </c>
    </row>
    <row r="46" spans="1:6" x14ac:dyDescent="0.3">
      <c r="A46" s="26" t="s">
        <v>1688</v>
      </c>
      <c r="B46" s="55">
        <v>5</v>
      </c>
      <c r="C46" s="26" t="s">
        <v>1689</v>
      </c>
      <c r="D46" s="22">
        <v>31</v>
      </c>
      <c r="E46" s="56" t="s">
        <v>1507</v>
      </c>
      <c r="F46" s="56" t="s">
        <v>1690</v>
      </c>
    </row>
    <row r="47" spans="1:6" x14ac:dyDescent="0.3">
      <c r="A47" s="25" t="s">
        <v>1691</v>
      </c>
      <c r="B47" s="53">
        <v>4</v>
      </c>
      <c r="C47" s="25" t="s">
        <v>1689</v>
      </c>
      <c r="D47" s="24">
        <v>24</v>
      </c>
      <c r="E47" s="54" t="s">
        <v>1491</v>
      </c>
      <c r="F47" s="54" t="s">
        <v>1692</v>
      </c>
    </row>
    <row r="48" spans="1:6" ht="25" x14ac:dyDescent="0.3">
      <c r="A48" s="26" t="s">
        <v>1693</v>
      </c>
      <c r="B48" s="55">
        <v>5</v>
      </c>
      <c r="C48" s="26" t="s">
        <v>1694</v>
      </c>
      <c r="D48" s="22">
        <v>24</v>
      </c>
      <c r="E48" s="56" t="s">
        <v>1695</v>
      </c>
      <c r="F48" s="56" t="s">
        <v>1696</v>
      </c>
    </row>
    <row r="49" spans="1:6" x14ac:dyDescent="0.3">
      <c r="A49" s="25" t="s">
        <v>1697</v>
      </c>
      <c r="B49" s="53">
        <v>5</v>
      </c>
      <c r="C49" s="25" t="s">
        <v>1698</v>
      </c>
      <c r="D49" s="24">
        <v>20</v>
      </c>
      <c r="E49" s="54" t="s">
        <v>1489</v>
      </c>
      <c r="F49" s="54" t="s">
        <v>1699</v>
      </c>
    </row>
    <row r="50" spans="1:6" ht="25" x14ac:dyDescent="0.3">
      <c r="A50" s="26" t="s">
        <v>1700</v>
      </c>
      <c r="B50" s="55">
        <v>5</v>
      </c>
      <c r="C50" s="26" t="s">
        <v>1701</v>
      </c>
      <c r="D50" s="22">
        <v>19</v>
      </c>
      <c r="E50" s="56"/>
      <c r="F50" s="56" t="s">
        <v>1702</v>
      </c>
    </row>
    <row r="51" spans="1:6" x14ac:dyDescent="0.3">
      <c r="A51" s="25" t="s">
        <v>1703</v>
      </c>
      <c r="B51" s="53">
        <v>5</v>
      </c>
      <c r="C51" s="25" t="s">
        <v>1704</v>
      </c>
      <c r="D51" s="24">
        <v>19</v>
      </c>
      <c r="E51" s="54"/>
      <c r="F51" s="54" t="s">
        <v>1705</v>
      </c>
    </row>
    <row r="52" spans="1:6" x14ac:dyDescent="0.3">
      <c r="A52" s="26" t="s">
        <v>1706</v>
      </c>
      <c r="B52" s="55">
        <v>4</v>
      </c>
      <c r="C52" s="26" t="s">
        <v>1707</v>
      </c>
      <c r="D52" s="22">
        <v>18</v>
      </c>
      <c r="E52" s="56" t="s">
        <v>1489</v>
      </c>
      <c r="F52" s="56" t="s">
        <v>1708</v>
      </c>
    </row>
    <row r="53" spans="1:6" x14ac:dyDescent="0.3">
      <c r="A53" s="25" t="s">
        <v>1709</v>
      </c>
      <c r="B53" s="53">
        <v>5</v>
      </c>
      <c r="C53" s="25" t="s">
        <v>1710</v>
      </c>
      <c r="D53" s="24">
        <v>18</v>
      </c>
      <c r="E53" s="54" t="s">
        <v>1503</v>
      </c>
      <c r="F53" s="54" t="s">
        <v>1711</v>
      </c>
    </row>
    <row r="54" spans="1:6" ht="25" x14ac:dyDescent="0.3">
      <c r="A54" s="26" t="s">
        <v>1712</v>
      </c>
      <c r="B54" s="55">
        <v>4</v>
      </c>
      <c r="C54" s="26" t="s">
        <v>1713</v>
      </c>
      <c r="D54" s="22">
        <v>17</v>
      </c>
      <c r="E54" s="56" t="s">
        <v>1714</v>
      </c>
      <c r="F54" s="56" t="s">
        <v>1715</v>
      </c>
    </row>
  </sheetData>
  <autoFilter ref="A4:F54" xr:uid="{00000000-0009-0000-0000-00000A000000}"/>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39"/>
  <sheetViews>
    <sheetView showGridLines="0" workbookViewId="0"/>
  </sheetViews>
  <sheetFormatPr defaultRowHeight="14" x14ac:dyDescent="0.3"/>
  <cols>
    <col min="1" max="1" width="28" customWidth="1"/>
    <col min="2" max="8" width="13" customWidth="1"/>
    <col min="9" max="9" width="14" customWidth="1"/>
    <col min="10" max="10" width="13" customWidth="1"/>
    <col min="11" max="11" width="44" customWidth="1"/>
  </cols>
  <sheetData>
    <row r="1" spans="1:11" ht="18" x14ac:dyDescent="0.4">
      <c r="A1" s="1" t="s">
        <v>1716</v>
      </c>
    </row>
    <row r="2" spans="1:11" x14ac:dyDescent="0.3">
      <c r="A2" s="8" t="s">
        <v>1717</v>
      </c>
    </row>
    <row r="4" spans="1:11" x14ac:dyDescent="0.3">
      <c r="A4" s="5" t="s">
        <v>1718</v>
      </c>
    </row>
    <row r="5" spans="1:11" x14ac:dyDescent="0.3">
      <c r="A5" s="57" t="s">
        <v>1719</v>
      </c>
      <c r="B5" s="58">
        <v>80.599999999999994</v>
      </c>
      <c r="C5" s="73" t="s">
        <v>1720</v>
      </c>
      <c r="D5" s="74"/>
      <c r="E5" s="74"/>
      <c r="F5" s="74"/>
      <c r="G5" s="74"/>
      <c r="H5" s="74"/>
      <c r="I5" s="74"/>
      <c r="J5" s="74"/>
      <c r="K5" s="75"/>
    </row>
    <row r="6" spans="1:11" ht="40" customHeight="1" x14ac:dyDescent="0.3">
      <c r="A6" s="11" t="s">
        <v>1721</v>
      </c>
      <c r="B6" s="36" t="s">
        <v>1722</v>
      </c>
      <c r="C6" s="73" t="s">
        <v>1723</v>
      </c>
      <c r="D6" s="74"/>
      <c r="E6" s="74"/>
      <c r="F6" s="74"/>
      <c r="G6" s="74"/>
      <c r="H6" s="74"/>
      <c r="I6" s="74"/>
      <c r="J6" s="74"/>
      <c r="K6" s="75"/>
    </row>
    <row r="8" spans="1:11" x14ac:dyDescent="0.3">
      <c r="A8" s="5" t="s">
        <v>1724</v>
      </c>
    </row>
    <row r="9" spans="1:11" ht="30" customHeight="1" x14ac:dyDescent="0.3">
      <c r="A9" s="9" t="s">
        <v>1725</v>
      </c>
      <c r="B9" s="9" t="s">
        <v>1726</v>
      </c>
      <c r="C9" s="10" t="s">
        <v>1374</v>
      </c>
      <c r="D9" s="10"/>
      <c r="E9" s="10"/>
      <c r="F9" s="10"/>
      <c r="G9" s="10"/>
      <c r="H9" s="10"/>
      <c r="I9" s="10"/>
      <c r="J9" s="10"/>
      <c r="K9" s="10" t="s">
        <v>1727</v>
      </c>
    </row>
    <row r="10" spans="1:11" x14ac:dyDescent="0.3">
      <c r="A10" s="26" t="s">
        <v>1728</v>
      </c>
      <c r="B10" s="26" t="s">
        <v>1729</v>
      </c>
      <c r="C10" s="71" t="s">
        <v>1730</v>
      </c>
      <c r="D10" s="72"/>
      <c r="E10" s="72"/>
      <c r="F10" s="72"/>
      <c r="G10" s="72"/>
      <c r="H10" s="72"/>
      <c r="I10" s="72"/>
      <c r="J10" s="72"/>
      <c r="K10" s="55">
        <v>29</v>
      </c>
    </row>
    <row r="11" spans="1:11" x14ac:dyDescent="0.3">
      <c r="A11" s="25" t="s">
        <v>1728</v>
      </c>
      <c r="B11" s="25" t="s">
        <v>1731</v>
      </c>
      <c r="C11" s="69" t="s">
        <v>1732</v>
      </c>
      <c r="D11" s="70"/>
      <c r="E11" s="70"/>
      <c r="F11" s="70"/>
      <c r="G11" s="70"/>
      <c r="H11" s="70"/>
      <c r="I11" s="70"/>
      <c r="J11" s="70"/>
      <c r="K11" s="53">
        <v>32</v>
      </c>
    </row>
    <row r="12" spans="1:11" x14ac:dyDescent="0.3">
      <c r="A12" s="26" t="s">
        <v>1728</v>
      </c>
      <c r="B12" s="26" t="s">
        <v>1733</v>
      </c>
      <c r="C12" s="71" t="s">
        <v>1734</v>
      </c>
      <c r="D12" s="72"/>
      <c r="E12" s="72"/>
      <c r="F12" s="72"/>
      <c r="G12" s="72"/>
      <c r="H12" s="72"/>
      <c r="I12" s="72"/>
      <c r="J12" s="72"/>
      <c r="K12" s="55">
        <v>33</v>
      </c>
    </row>
    <row r="13" spans="1:11" x14ac:dyDescent="0.3">
      <c r="A13" s="25" t="s">
        <v>1728</v>
      </c>
      <c r="B13" s="25" t="s">
        <v>1735</v>
      </c>
      <c r="C13" s="69" t="s">
        <v>1736</v>
      </c>
      <c r="D13" s="70"/>
      <c r="E13" s="70"/>
      <c r="F13" s="70"/>
      <c r="G13" s="70"/>
      <c r="H13" s="70"/>
      <c r="I13" s="70"/>
      <c r="J13" s="70"/>
      <c r="K13" s="53">
        <v>34</v>
      </c>
    </row>
    <row r="14" spans="1:11" x14ac:dyDescent="0.3">
      <c r="A14" s="26" t="s">
        <v>1728</v>
      </c>
      <c r="B14" s="26" t="s">
        <v>1737</v>
      </c>
      <c r="C14" s="71" t="s">
        <v>1738</v>
      </c>
      <c r="D14" s="72"/>
      <c r="E14" s="72"/>
      <c r="F14" s="72"/>
      <c r="G14" s="72"/>
      <c r="H14" s="72"/>
      <c r="I14" s="72"/>
      <c r="J14" s="72"/>
      <c r="K14" s="55">
        <v>31</v>
      </c>
    </row>
    <row r="15" spans="1:11" x14ac:dyDescent="0.3">
      <c r="A15" s="25" t="s">
        <v>1728</v>
      </c>
      <c r="B15" s="25" t="s">
        <v>1739</v>
      </c>
      <c r="C15" s="69" t="s">
        <v>1740</v>
      </c>
      <c r="D15" s="70"/>
      <c r="E15" s="70"/>
      <c r="F15" s="70"/>
      <c r="G15" s="70"/>
      <c r="H15" s="70"/>
      <c r="I15" s="70"/>
      <c r="J15" s="70"/>
      <c r="K15" s="53">
        <v>45</v>
      </c>
    </row>
    <row r="16" spans="1:11" x14ac:dyDescent="0.3">
      <c r="A16" s="26" t="s">
        <v>1741</v>
      </c>
      <c r="B16" s="26" t="s">
        <v>1742</v>
      </c>
      <c r="C16" s="71" t="s">
        <v>1743</v>
      </c>
      <c r="D16" s="72"/>
      <c r="E16" s="72"/>
      <c r="F16" s="72"/>
      <c r="G16" s="72"/>
      <c r="H16" s="72"/>
      <c r="I16" s="72"/>
      <c r="J16" s="72"/>
      <c r="K16" s="55">
        <v>8</v>
      </c>
    </row>
    <row r="17" spans="1:11" x14ac:dyDescent="0.3">
      <c r="A17" s="25" t="s">
        <v>1741</v>
      </c>
      <c r="B17" s="25" t="s">
        <v>1744</v>
      </c>
      <c r="C17" s="69" t="s">
        <v>1745</v>
      </c>
      <c r="D17" s="70"/>
      <c r="E17" s="70"/>
      <c r="F17" s="70"/>
      <c r="G17" s="70"/>
      <c r="H17" s="70"/>
      <c r="I17" s="70"/>
      <c r="J17" s="70"/>
      <c r="K17" s="53">
        <v>52</v>
      </c>
    </row>
    <row r="18" spans="1:11" x14ac:dyDescent="0.3">
      <c r="A18" s="26" t="s">
        <v>1741</v>
      </c>
      <c r="B18" s="26" t="s">
        <v>1746</v>
      </c>
      <c r="C18" s="71" t="s">
        <v>1747</v>
      </c>
      <c r="D18" s="72"/>
      <c r="E18" s="72"/>
      <c r="F18" s="72"/>
      <c r="G18" s="72"/>
      <c r="H18" s="72"/>
      <c r="I18" s="72"/>
      <c r="J18" s="72"/>
      <c r="K18" s="55">
        <v>51</v>
      </c>
    </row>
    <row r="19" spans="1:11" x14ac:dyDescent="0.3">
      <c r="A19" s="25" t="s">
        <v>1741</v>
      </c>
      <c r="B19" s="25" t="s">
        <v>1748</v>
      </c>
      <c r="C19" s="69" t="s">
        <v>1749</v>
      </c>
      <c r="D19" s="70"/>
      <c r="E19" s="70"/>
      <c r="F19" s="70"/>
      <c r="G19" s="70"/>
      <c r="H19" s="70"/>
      <c r="I19" s="70"/>
      <c r="J19" s="70"/>
      <c r="K19" s="53">
        <v>19</v>
      </c>
    </row>
    <row r="20" spans="1:11" x14ac:dyDescent="0.3">
      <c r="A20" s="26" t="s">
        <v>1741</v>
      </c>
      <c r="B20" s="26" t="s">
        <v>1750</v>
      </c>
      <c r="C20" s="71" t="s">
        <v>1751</v>
      </c>
      <c r="D20" s="72"/>
      <c r="E20" s="72"/>
      <c r="F20" s="72"/>
      <c r="G20" s="72"/>
      <c r="H20" s="72"/>
      <c r="I20" s="72"/>
      <c r="J20" s="72"/>
      <c r="K20" s="55">
        <v>27</v>
      </c>
    </row>
    <row r="21" spans="1:11" x14ac:dyDescent="0.3">
      <c r="A21" s="25" t="s">
        <v>1741</v>
      </c>
      <c r="B21" s="25" t="s">
        <v>1752</v>
      </c>
      <c r="C21" s="69" t="s">
        <v>1753</v>
      </c>
      <c r="D21" s="70"/>
      <c r="E21" s="70"/>
      <c r="F21" s="70"/>
      <c r="G21" s="70"/>
      <c r="H21" s="70"/>
      <c r="I21" s="70"/>
      <c r="J21" s="70"/>
      <c r="K21" s="53">
        <v>39</v>
      </c>
    </row>
    <row r="23" spans="1:11" x14ac:dyDescent="0.3">
      <c r="A23" s="5" t="s">
        <v>1754</v>
      </c>
    </row>
    <row r="24" spans="1:11" ht="46" customHeight="1" x14ac:dyDescent="0.3">
      <c r="A24" s="9" t="s">
        <v>1755</v>
      </c>
      <c r="B24" s="10" t="s">
        <v>1756</v>
      </c>
      <c r="C24" s="10" t="s">
        <v>1757</v>
      </c>
      <c r="D24" s="10" t="s">
        <v>1758</v>
      </c>
      <c r="E24" s="10" t="s">
        <v>1759</v>
      </c>
      <c r="F24" s="10" t="s">
        <v>1760</v>
      </c>
      <c r="G24" s="10" t="s">
        <v>1761</v>
      </c>
      <c r="H24" s="10" t="s">
        <v>1762</v>
      </c>
      <c r="I24" s="10" t="s">
        <v>1763</v>
      </c>
      <c r="J24" s="10" t="s">
        <v>1764</v>
      </c>
      <c r="K24" s="10" t="s">
        <v>1326</v>
      </c>
    </row>
    <row r="25" spans="1:11" x14ac:dyDescent="0.3">
      <c r="A25" s="16" t="s">
        <v>1765</v>
      </c>
      <c r="B25" s="59">
        <f>AVERAGE('Segments 2024'!D29,'Segments 2024'!D32,'Segments 2024'!D33,'Segments 2024'!D34,'Segments 2024'!D31,'Segments 2024'!D45)</f>
        <v>36.839999999999996</v>
      </c>
      <c r="C25" s="59">
        <f>AVERAGE('Segments 2024'!D8,'Segments 2024'!D52,'Segments 2024'!D51,'Segments 2024'!D19,'Segments 2024'!D27,'Segments 2024'!D39)</f>
        <v>59.388333333333343</v>
      </c>
      <c r="D25" s="19">
        <f t="shared" ref="D25:D37" si="0">AVERAGE(B25,C25)</f>
        <v>48.114166666666669</v>
      </c>
      <c r="E25" s="59">
        <f>'Segments 2024'!D5</f>
        <v>70.55</v>
      </c>
      <c r="F25" s="59">
        <f>'Segments 2024'!D29</f>
        <v>43.09</v>
      </c>
      <c r="G25" s="19">
        <f t="shared" ref="G25:G37" si="1">E25-F25</f>
        <v>27.459999999999994</v>
      </c>
      <c r="H25" s="52">
        <v>100</v>
      </c>
      <c r="I25" s="60">
        <f t="shared" ref="I25:I37" si="2">$B$5*H25/100*G25/100</f>
        <v>22.132759999999994</v>
      </c>
      <c r="J25" s="60">
        <f t="shared" ref="J25:J37" si="3">D25*I25/100</f>
        <v>10.648993034333332</v>
      </c>
      <c r="K25" s="20" t="s">
        <v>1766</v>
      </c>
    </row>
    <row r="26" spans="1:11" x14ac:dyDescent="0.3">
      <c r="A26" s="11" t="s">
        <v>1767</v>
      </c>
      <c r="B26" s="61">
        <f>AVERAGE('Segments 2024'!E29,'Segments 2024'!E32,'Segments 2024'!E33,'Segments 2024'!E34,'Segments 2024'!E31,'Segments 2024'!E45)</f>
        <v>38.608333333333341</v>
      </c>
      <c r="C26" s="61">
        <f>AVERAGE('Segments 2024'!E8,'Segments 2024'!E52,'Segments 2024'!E51,'Segments 2024'!E19,'Segments 2024'!E27,'Segments 2024'!E39)</f>
        <v>59.008333333333326</v>
      </c>
      <c r="D26" s="14">
        <f t="shared" si="0"/>
        <v>48.808333333333337</v>
      </c>
      <c r="E26" s="61">
        <f>'Segments 2024'!E5</f>
        <v>69.88</v>
      </c>
      <c r="F26" s="61">
        <f>'Segments 2024'!E29</f>
        <v>45.07</v>
      </c>
      <c r="G26" s="14">
        <f t="shared" si="1"/>
        <v>24.809999999999995</v>
      </c>
      <c r="H26" s="44">
        <v>51.2</v>
      </c>
      <c r="I26" s="62">
        <f t="shared" si="2"/>
        <v>10.238392319999997</v>
      </c>
      <c r="J26" s="62">
        <f t="shared" si="3"/>
        <v>4.9971886515199992</v>
      </c>
      <c r="K26" s="15"/>
    </row>
    <row r="27" spans="1:11" x14ac:dyDescent="0.3">
      <c r="A27" s="16" t="s">
        <v>1768</v>
      </c>
      <c r="B27" s="59">
        <f>AVERAGE('Segments 2024'!F29,'Segments 2024'!F32,'Segments 2024'!F33,'Segments 2024'!F34,'Segments 2024'!F31,'Segments 2024'!F45)</f>
        <v>34.986666666666672</v>
      </c>
      <c r="C27" s="59">
        <f>AVERAGE('Segments 2024'!F8,'Segments 2024'!F52,'Segments 2024'!F51,'Segments 2024'!F19,'Segments 2024'!F27,'Segments 2024'!F39)</f>
        <v>59.788333333333327</v>
      </c>
      <c r="D27" s="19">
        <f t="shared" si="0"/>
        <v>47.387500000000003</v>
      </c>
      <c r="E27" s="59">
        <f>'Segments 2024'!F5</f>
        <v>71.25</v>
      </c>
      <c r="F27" s="59">
        <f>'Segments 2024'!F29</f>
        <v>41.01</v>
      </c>
      <c r="G27" s="19">
        <f t="shared" si="1"/>
        <v>30.240000000000002</v>
      </c>
      <c r="H27" s="52">
        <v>48.8</v>
      </c>
      <c r="I27" s="60">
        <f t="shared" si="2"/>
        <v>11.894238719999999</v>
      </c>
      <c r="J27" s="60">
        <f t="shared" si="3"/>
        <v>5.63638237344</v>
      </c>
      <c r="K27" s="20"/>
    </row>
    <row r="28" spans="1:11" ht="34.5" x14ac:dyDescent="0.3">
      <c r="A28" s="11" t="s">
        <v>1769</v>
      </c>
      <c r="B28" s="61">
        <f>AVERAGE('Segments 2024'!G29,'Segments 2024'!G32,'Segments 2024'!G33,'Segments 2024'!G34,'Segments 2024'!G31,'Segments 2024'!G45)</f>
        <v>31.108333333333338</v>
      </c>
      <c r="C28" s="61">
        <f>AVERAGE('Segments 2024'!G8,'Segments 2024'!G52,'Segments 2024'!G51,'Segments 2024'!G19,'Segments 2024'!G27,'Segments 2024'!G39)</f>
        <v>66.201666666666668</v>
      </c>
      <c r="D28" s="14">
        <f t="shared" si="0"/>
        <v>48.655000000000001</v>
      </c>
      <c r="E28" s="61">
        <f>'Segments 2024'!G5</f>
        <v>72.16</v>
      </c>
      <c r="F28" s="61">
        <f>'Segments 2024'!G29</f>
        <v>38.58</v>
      </c>
      <c r="G28" s="14">
        <f t="shared" si="1"/>
        <v>33.58</v>
      </c>
      <c r="H28" s="44">
        <v>18.2</v>
      </c>
      <c r="I28" s="62">
        <f t="shared" si="2"/>
        <v>4.9259173599999988</v>
      </c>
      <c r="J28" s="62">
        <f t="shared" si="3"/>
        <v>2.3967050915079993</v>
      </c>
      <c r="K28" s="15" t="s">
        <v>1770</v>
      </c>
    </row>
    <row r="29" spans="1:11" x14ac:dyDescent="0.3">
      <c r="A29" s="16" t="s">
        <v>1771</v>
      </c>
      <c r="B29" s="59">
        <f>AVERAGE('Segments 2024'!H29,'Segments 2024'!H32,'Segments 2024'!H33,'Segments 2024'!H34,'Segments 2024'!H31,'Segments 2024'!H45)</f>
        <v>38.113333333333337</v>
      </c>
      <c r="C29" s="59">
        <f>AVERAGE('Segments 2024'!H8,'Segments 2024'!H52,'Segments 2024'!H51,'Segments 2024'!H19,'Segments 2024'!H27,'Segments 2024'!H39)</f>
        <v>57.87833333333333</v>
      </c>
      <c r="D29" s="19">
        <f t="shared" si="0"/>
        <v>47.995833333333337</v>
      </c>
      <c r="E29" s="59">
        <f>'Segments 2024'!H5</f>
        <v>70.19</v>
      </c>
      <c r="F29" s="59">
        <f>'Segments 2024'!H29</f>
        <v>44.09</v>
      </c>
      <c r="G29" s="19">
        <f t="shared" si="1"/>
        <v>26.099999999999994</v>
      </c>
      <c r="H29" s="52">
        <v>81.8</v>
      </c>
      <c r="I29" s="60">
        <f t="shared" si="2"/>
        <v>17.207938799999994</v>
      </c>
      <c r="J29" s="60">
        <f t="shared" si="3"/>
        <v>8.2590936265499977</v>
      </c>
      <c r="K29" s="20"/>
    </row>
    <row r="30" spans="1:11" x14ac:dyDescent="0.3">
      <c r="A30" s="11" t="s">
        <v>1772</v>
      </c>
      <c r="B30" s="61">
        <f>AVERAGE('Segments 2024'!I29,'Segments 2024'!I32,'Segments 2024'!I33,'Segments 2024'!I34,'Segments 2024'!I31,'Segments 2024'!I45)</f>
        <v>15.645000000000001</v>
      </c>
      <c r="C30" s="61">
        <f>AVERAGE('Segments 2024'!I8,'Segments 2024'!I52,'Segments 2024'!I51,'Segments 2024'!I19,'Segments 2024'!I27,'Segments 2024'!I39)</f>
        <v>26.51</v>
      </c>
      <c r="D30" s="14">
        <f t="shared" si="0"/>
        <v>21.077500000000001</v>
      </c>
      <c r="E30" s="61">
        <f>'Segments 2024'!I5</f>
        <v>33.479999999999997</v>
      </c>
      <c r="F30" s="61">
        <f>'Segments 2024'!I29</f>
        <v>13.97</v>
      </c>
      <c r="G30" s="14">
        <f t="shared" si="1"/>
        <v>19.509999999999998</v>
      </c>
      <c r="H30" s="44">
        <v>11.2</v>
      </c>
      <c r="I30" s="62">
        <f t="shared" si="2"/>
        <v>1.7612067199999997</v>
      </c>
      <c r="J30" s="62">
        <f t="shared" si="3"/>
        <v>0.37121834640799994</v>
      </c>
      <c r="K30" s="15" t="s">
        <v>1773</v>
      </c>
    </row>
    <row r="31" spans="1:11" x14ac:dyDescent="0.3">
      <c r="A31" s="16" t="s">
        <v>1774</v>
      </c>
      <c r="B31" s="59">
        <f>AVERAGE('Segments 2024'!J29,'Segments 2024'!J32,'Segments 2024'!J33,'Segments 2024'!J34,'Segments 2024'!J31,'Segments 2024'!J45)</f>
        <v>39.511666666666663</v>
      </c>
      <c r="C31" s="59">
        <f>AVERAGE('Segments 2024'!J8,'Segments 2024'!J52,'Segments 2024'!J51,'Segments 2024'!J19,'Segments 2024'!J27,'Segments 2024'!J39)</f>
        <v>63.531666666666659</v>
      </c>
      <c r="D31" s="19">
        <f t="shared" si="0"/>
        <v>51.521666666666661</v>
      </c>
      <c r="E31" s="59">
        <f>'Segments 2024'!J5</f>
        <v>75.22</v>
      </c>
      <c r="F31" s="59">
        <f>'Segments 2024'!J29</f>
        <v>46.71</v>
      </c>
      <c r="G31" s="19">
        <f t="shared" si="1"/>
        <v>28.509999999999998</v>
      </c>
      <c r="H31" s="52">
        <v>88.8</v>
      </c>
      <c r="I31" s="60">
        <f t="shared" si="2"/>
        <v>20.405405279999997</v>
      </c>
      <c r="J31" s="60">
        <f t="shared" si="3"/>
        <v>10.513204890343998</v>
      </c>
      <c r="K31" s="20" t="s">
        <v>1775</v>
      </c>
    </row>
    <row r="32" spans="1:11" x14ac:dyDescent="0.3">
      <c r="A32" s="11" t="s">
        <v>1776</v>
      </c>
      <c r="B32" s="61">
        <f>AVERAGE('Segments 2024'!K29,'Segments 2024'!K32,'Segments 2024'!K33,'Segments 2024'!K34,'Segments 2024'!K31,'Segments 2024'!K45)</f>
        <v>23.128333333333334</v>
      </c>
      <c r="C32" s="61">
        <f>AVERAGE('Segments 2024'!K8,'Segments 2024'!K52,'Segments 2024'!K51,'Segments 2024'!K19,'Segments 2024'!K27,'Segments 2024'!K39)</f>
        <v>40.50333333333333</v>
      </c>
      <c r="D32" s="14">
        <f t="shared" si="0"/>
        <v>31.81583333333333</v>
      </c>
      <c r="E32" s="61">
        <f>'Segments 2024'!K5</f>
        <v>48.11</v>
      </c>
      <c r="F32" s="61">
        <f>'Segments 2024'!K29</f>
        <v>27.05</v>
      </c>
      <c r="G32" s="14">
        <f t="shared" si="1"/>
        <v>21.06</v>
      </c>
      <c r="H32" s="44">
        <v>40</v>
      </c>
      <c r="I32" s="62">
        <f t="shared" si="2"/>
        <v>6.7897439999999998</v>
      </c>
      <c r="J32" s="62">
        <f t="shared" si="3"/>
        <v>2.1602136347999998</v>
      </c>
      <c r="K32" s="15"/>
    </row>
    <row r="33" spans="1:11" ht="23" x14ac:dyDescent="0.3">
      <c r="A33" s="16" t="s">
        <v>1777</v>
      </c>
      <c r="B33" s="59">
        <f>AVERAGE('Segments 2024'!L29,'Segments 2024'!L32,'Segments 2024'!L33,'Segments 2024'!L34,'Segments 2024'!L31,'Segments 2024'!L45)</f>
        <v>45.966666666666669</v>
      </c>
      <c r="C33" s="59">
        <f>AVERAGE('Segments 2024'!L8,'Segments 2024'!L52,'Segments 2024'!L51,'Segments 2024'!L19,'Segments 2024'!L27,'Segments 2024'!L39)</f>
        <v>71.960000000000022</v>
      </c>
      <c r="D33" s="19">
        <f t="shared" si="0"/>
        <v>58.963333333333345</v>
      </c>
      <c r="E33" s="59">
        <f>'Segments 2024'!L5</f>
        <v>85.49</v>
      </c>
      <c r="F33" s="59">
        <f>'Segments 2024'!L29</f>
        <v>53.76</v>
      </c>
      <c r="G33" s="19">
        <f t="shared" si="1"/>
        <v>31.729999999999997</v>
      </c>
      <c r="H33" s="52">
        <v>60</v>
      </c>
      <c r="I33" s="60">
        <f t="shared" si="2"/>
        <v>15.344627999999998</v>
      </c>
      <c r="J33" s="60">
        <f t="shared" si="3"/>
        <v>9.0477041564000018</v>
      </c>
      <c r="K33" s="20" t="s">
        <v>1778</v>
      </c>
    </row>
    <row r="34" spans="1:11" x14ac:dyDescent="0.3">
      <c r="A34" s="11" t="s">
        <v>1779</v>
      </c>
      <c r="B34" s="61">
        <f>AVERAGE('Segments 2024'!M29,'Segments 2024'!M32,'Segments 2024'!M33,'Segments 2024'!M34,'Segments 2024'!M31,'Segments 2024'!M45)</f>
        <v>33.794999999999995</v>
      </c>
      <c r="C34" s="61">
        <f>AVERAGE('Segments 2024'!M8,'Segments 2024'!M52,'Segments 2024'!M51,'Segments 2024'!M19,'Segments 2024'!M27,'Segments 2024'!M39)</f>
        <v>56.153333333333329</v>
      </c>
      <c r="D34" s="14">
        <f t="shared" si="0"/>
        <v>44.974166666666662</v>
      </c>
      <c r="E34" s="61">
        <f>'Segments 2024'!M5</f>
        <v>67.37</v>
      </c>
      <c r="F34" s="61">
        <f>'Segments 2024'!M29</f>
        <v>40.47</v>
      </c>
      <c r="G34" s="14">
        <f t="shared" si="1"/>
        <v>26.900000000000006</v>
      </c>
      <c r="H34" s="44">
        <v>67</v>
      </c>
      <c r="I34" s="62">
        <f t="shared" si="2"/>
        <v>14.526538000000002</v>
      </c>
      <c r="J34" s="62">
        <f t="shared" si="3"/>
        <v>6.5331894110166671</v>
      </c>
      <c r="K34" s="15"/>
    </row>
    <row r="35" spans="1:11" x14ac:dyDescent="0.3">
      <c r="A35" s="16" t="s">
        <v>1780</v>
      </c>
      <c r="B35" s="59">
        <f>AVERAGE('Segments 2024'!N29,'Segments 2024'!N32,'Segments 2024'!N33,'Segments 2024'!N34,'Segments 2024'!N31,'Segments 2024'!N45)</f>
        <v>43.023333333333333</v>
      </c>
      <c r="C35" s="59">
        <f>AVERAGE('Segments 2024'!N8,'Segments 2024'!N52,'Segments 2024'!N51,'Segments 2024'!N19,'Segments 2024'!N27,'Segments 2024'!N39)</f>
        <v>65.961666666666673</v>
      </c>
      <c r="D35" s="19">
        <f t="shared" si="0"/>
        <v>54.492500000000007</v>
      </c>
      <c r="E35" s="59">
        <f>'Segments 2024'!N5</f>
        <v>77.010000000000005</v>
      </c>
      <c r="F35" s="59">
        <f>'Segments 2024'!N29</f>
        <v>48.41</v>
      </c>
      <c r="G35" s="19">
        <f t="shared" si="1"/>
        <v>28.600000000000009</v>
      </c>
      <c r="H35" s="52">
        <v>33</v>
      </c>
      <c r="I35" s="60">
        <f t="shared" si="2"/>
        <v>7.6070280000000023</v>
      </c>
      <c r="J35" s="60">
        <f t="shared" si="3"/>
        <v>4.1452597329000023</v>
      </c>
      <c r="K35" s="20"/>
    </row>
    <row r="36" spans="1:11" x14ac:dyDescent="0.3">
      <c r="A36" s="11" t="s">
        <v>1781</v>
      </c>
      <c r="B36" s="61">
        <f>AVERAGE('Segments 2024'!O29,'Segments 2024'!O32,'Segments 2024'!O33,'Segments 2024'!O34,'Segments 2024'!O31,'Segments 2024'!O45)</f>
        <v>18.448333333333331</v>
      </c>
      <c r="C36" s="61">
        <f>AVERAGE('Segments 2024'!O8,'Segments 2024'!O52,'Segments 2024'!O51,'Segments 2024'!O19,'Segments 2024'!O27,'Segments 2024'!O39)</f>
        <v>36.613333333333337</v>
      </c>
      <c r="D36" s="14">
        <f t="shared" si="0"/>
        <v>27.530833333333334</v>
      </c>
      <c r="E36" s="61">
        <f>'Segments 2024'!O5</f>
        <v>41.31</v>
      </c>
      <c r="F36" s="61">
        <f>'Segments 2024'!O29</f>
        <v>21.95</v>
      </c>
      <c r="G36" s="14">
        <f t="shared" si="1"/>
        <v>19.360000000000003</v>
      </c>
      <c r="H36" s="44">
        <v>20.100000000000001</v>
      </c>
      <c r="I36" s="62">
        <f t="shared" si="2"/>
        <v>3.1364361600000001</v>
      </c>
      <c r="J36" s="62">
        <f t="shared" si="3"/>
        <v>0.86348701181600007</v>
      </c>
      <c r="K36" s="15"/>
    </row>
    <row r="37" spans="1:11" x14ac:dyDescent="0.3">
      <c r="A37" s="16" t="s">
        <v>1782</v>
      </c>
      <c r="B37" s="59">
        <f>AVERAGE('Segments 2024'!P29,'Segments 2024'!P32,'Segments 2024'!P33,'Segments 2024'!P34,'Segments 2024'!P31,'Segments 2024'!P45)</f>
        <v>41.45333333333334</v>
      </c>
      <c r="C37" s="59">
        <f>AVERAGE('Segments 2024'!P8,'Segments 2024'!P52,'Segments 2024'!P51,'Segments 2024'!P19,'Segments 2024'!P27,'Segments 2024'!P39)</f>
        <v>65.103333333333339</v>
      </c>
      <c r="D37" s="19">
        <f t="shared" si="0"/>
        <v>53.278333333333336</v>
      </c>
      <c r="E37" s="59">
        <f>'Segments 2024'!P5</f>
        <v>77.89</v>
      </c>
      <c r="F37" s="59">
        <f>'Segments 2024'!P29</f>
        <v>48.39</v>
      </c>
      <c r="G37" s="19">
        <f t="shared" si="1"/>
        <v>29.5</v>
      </c>
      <c r="H37" s="52">
        <v>79.900000000000006</v>
      </c>
      <c r="I37" s="60">
        <f t="shared" si="2"/>
        <v>18.997823</v>
      </c>
      <c r="J37" s="60">
        <f t="shared" si="3"/>
        <v>10.121723464016666</v>
      </c>
      <c r="K37" s="20" t="s">
        <v>1783</v>
      </c>
    </row>
    <row r="39" spans="1:11" x14ac:dyDescent="0.3">
      <c r="A39" s="11" t="s">
        <v>1784</v>
      </c>
      <c r="B39" s="14">
        <f>SUMPRODUCT(MAX(C26:C37-B26:B37))</f>
        <v>35.093333333333334</v>
      </c>
      <c r="C39" s="73" t="s">
        <v>1785</v>
      </c>
      <c r="D39" s="74"/>
      <c r="E39" s="74"/>
      <c r="F39" s="74"/>
      <c r="G39" s="74"/>
      <c r="H39" s="74"/>
      <c r="I39" s="74"/>
      <c r="J39" s="74"/>
      <c r="K39" s="75"/>
    </row>
  </sheetData>
  <mergeCells count="15">
    <mergeCell ref="C39:K39"/>
    <mergeCell ref="C18:J18"/>
    <mergeCell ref="C6:K6"/>
    <mergeCell ref="C17:J17"/>
    <mergeCell ref="C12:J12"/>
    <mergeCell ref="C21:J21"/>
    <mergeCell ref="C5:K5"/>
    <mergeCell ref="C20:J20"/>
    <mergeCell ref="C15:J15"/>
    <mergeCell ref="C11:J11"/>
    <mergeCell ref="C10:J10"/>
    <mergeCell ref="C16:J16"/>
    <mergeCell ref="C14:J14"/>
    <mergeCell ref="C13:J13"/>
    <mergeCell ref="C19:J19"/>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P55"/>
  <sheetViews>
    <sheetView showGridLines="0" workbookViewId="0">
      <pane xSplit="3" ySplit="4" topLeftCell="D5" activePane="bottomRight" state="frozen"/>
      <selection pane="topRight"/>
      <selection pane="bottomLeft"/>
      <selection pane="bottomRight"/>
    </sheetView>
  </sheetViews>
  <sheetFormatPr defaultRowHeight="14" x14ac:dyDescent="0.3"/>
  <cols>
    <col min="1" max="1" width="22" customWidth="1"/>
    <col min="2" max="2" width="52" customWidth="1"/>
    <col min="3" max="3" width="16" customWidth="1"/>
    <col min="4" max="16" width="13" customWidth="1"/>
  </cols>
  <sheetData>
    <row r="1" spans="1:16" ht="18" x14ac:dyDescent="0.4">
      <c r="A1" s="1" t="s">
        <v>1786</v>
      </c>
    </row>
    <row r="2" spans="1:16" x14ac:dyDescent="0.3">
      <c r="A2" s="8" t="s">
        <v>1787</v>
      </c>
    </row>
    <row r="4" spans="1:16" ht="34" customHeight="1" x14ac:dyDescent="0.3">
      <c r="A4" s="9" t="s">
        <v>1726</v>
      </c>
      <c r="B4" s="9" t="s">
        <v>1374</v>
      </c>
      <c r="C4" s="9" t="s">
        <v>1481</v>
      </c>
      <c r="D4" s="10" t="s">
        <v>1765</v>
      </c>
      <c r="E4" s="10" t="s">
        <v>1767</v>
      </c>
      <c r="F4" s="10" t="s">
        <v>1768</v>
      </c>
      <c r="G4" s="10" t="s">
        <v>1769</v>
      </c>
      <c r="H4" s="10" t="s">
        <v>1771</v>
      </c>
      <c r="I4" s="10" t="s">
        <v>1772</v>
      </c>
      <c r="J4" s="10" t="s">
        <v>1774</v>
      </c>
      <c r="K4" s="10" t="s">
        <v>1776</v>
      </c>
      <c r="L4" s="10" t="s">
        <v>1777</v>
      </c>
      <c r="M4" s="10" t="s">
        <v>1779</v>
      </c>
      <c r="N4" s="10" t="s">
        <v>1780</v>
      </c>
      <c r="O4" s="10" t="s">
        <v>1781</v>
      </c>
      <c r="P4" s="10" t="s">
        <v>1782</v>
      </c>
    </row>
    <row r="5" spans="1:16" x14ac:dyDescent="0.3">
      <c r="A5" s="25" t="s">
        <v>1788</v>
      </c>
      <c r="B5" s="25" t="s">
        <v>1789</v>
      </c>
      <c r="C5" s="25" t="s">
        <v>1790</v>
      </c>
      <c r="D5" s="63">
        <v>70.55</v>
      </c>
      <c r="E5" s="63">
        <v>69.88</v>
      </c>
      <c r="F5" s="63">
        <v>71.25</v>
      </c>
      <c r="G5" s="63">
        <v>72.16</v>
      </c>
      <c r="H5" s="63">
        <v>70.19</v>
      </c>
      <c r="I5" s="63">
        <v>33.479999999999997</v>
      </c>
      <c r="J5" s="63">
        <v>75.22</v>
      </c>
      <c r="K5" s="63">
        <v>48.11</v>
      </c>
      <c r="L5" s="63">
        <v>85.49</v>
      </c>
      <c r="M5" s="63">
        <v>67.37</v>
      </c>
      <c r="N5" s="63">
        <v>77.010000000000005</v>
      </c>
      <c r="O5" s="63">
        <v>41.31</v>
      </c>
      <c r="P5" s="63">
        <v>77.89</v>
      </c>
    </row>
    <row r="6" spans="1:16" x14ac:dyDescent="0.3">
      <c r="A6" s="26" t="s">
        <v>1791</v>
      </c>
      <c r="B6" s="26" t="s">
        <v>1792</v>
      </c>
      <c r="C6" s="26" t="s">
        <v>1790</v>
      </c>
      <c r="D6" s="64">
        <v>69.849999999999994</v>
      </c>
      <c r="E6" s="64">
        <v>69.42</v>
      </c>
      <c r="F6" s="64">
        <v>70.31</v>
      </c>
      <c r="G6" s="64">
        <v>70.58</v>
      </c>
      <c r="H6" s="64">
        <v>69.69</v>
      </c>
      <c r="I6" s="64">
        <v>33.15</v>
      </c>
      <c r="J6" s="64">
        <v>74.48</v>
      </c>
      <c r="K6" s="64">
        <v>47.66</v>
      </c>
      <c r="L6" s="64">
        <v>84.63</v>
      </c>
      <c r="M6" s="64">
        <v>66.459999999999994</v>
      </c>
      <c r="N6" s="64">
        <v>76.75</v>
      </c>
      <c r="O6" s="64">
        <v>40.729999999999997</v>
      </c>
      <c r="P6" s="64">
        <v>77.16</v>
      </c>
    </row>
    <row r="7" spans="1:16" x14ac:dyDescent="0.3">
      <c r="A7" s="25" t="s">
        <v>1793</v>
      </c>
      <c r="B7" s="25" t="s">
        <v>1794</v>
      </c>
      <c r="C7" s="25" t="s">
        <v>1790</v>
      </c>
      <c r="D7" s="63">
        <v>38.72</v>
      </c>
      <c r="E7" s="63">
        <v>37.020000000000003</v>
      </c>
      <c r="F7" s="63">
        <v>40.51</v>
      </c>
      <c r="G7" s="63">
        <v>51.53</v>
      </c>
      <c r="H7" s="63">
        <v>35.880000000000003</v>
      </c>
      <c r="I7" s="63">
        <v>11.52</v>
      </c>
      <c r="J7" s="63">
        <v>42.21</v>
      </c>
      <c r="K7" s="63">
        <v>22.32</v>
      </c>
      <c r="L7" s="63">
        <v>49.64</v>
      </c>
      <c r="M7" s="63">
        <v>36.19</v>
      </c>
      <c r="N7" s="63">
        <v>43.86</v>
      </c>
      <c r="O7" s="63">
        <v>18.2</v>
      </c>
      <c r="P7" s="63">
        <v>43.87</v>
      </c>
    </row>
    <row r="8" spans="1:16" x14ac:dyDescent="0.3">
      <c r="A8" s="26" t="s">
        <v>1742</v>
      </c>
      <c r="B8" s="26" t="s">
        <v>1743</v>
      </c>
      <c r="C8" s="26" t="s">
        <v>1790</v>
      </c>
      <c r="D8" s="64">
        <v>62.74</v>
      </c>
      <c r="E8" s="64">
        <v>62.39</v>
      </c>
      <c r="F8" s="64">
        <v>63.11</v>
      </c>
      <c r="G8" s="64">
        <v>71.06</v>
      </c>
      <c r="H8" s="64">
        <v>60.89</v>
      </c>
      <c r="I8" s="64">
        <v>19.75</v>
      </c>
      <c r="J8" s="64">
        <v>68.14</v>
      </c>
      <c r="K8" s="64">
        <v>37.58</v>
      </c>
      <c r="L8" s="64">
        <v>79.489999999999995</v>
      </c>
      <c r="M8" s="64">
        <v>59.3</v>
      </c>
      <c r="N8" s="64">
        <v>69.73</v>
      </c>
      <c r="O8" s="64">
        <v>31.32</v>
      </c>
      <c r="P8" s="64">
        <v>70.62</v>
      </c>
    </row>
    <row r="9" spans="1:16" x14ac:dyDescent="0.3">
      <c r="A9" s="25" t="s">
        <v>1795</v>
      </c>
      <c r="B9" s="25" t="s">
        <v>1796</v>
      </c>
      <c r="C9" s="25" t="s">
        <v>1790</v>
      </c>
      <c r="D9" s="63">
        <v>64.819999999999993</v>
      </c>
      <c r="E9" s="63">
        <v>63.65</v>
      </c>
      <c r="F9" s="63">
        <v>66.040000000000006</v>
      </c>
      <c r="G9" s="63">
        <v>64.680000000000007</v>
      </c>
      <c r="H9" s="63">
        <v>64.849999999999994</v>
      </c>
      <c r="I9" s="63">
        <v>26.4</v>
      </c>
      <c r="J9" s="63">
        <v>69.650000000000006</v>
      </c>
      <c r="K9" s="63">
        <v>42.18</v>
      </c>
      <c r="L9" s="63">
        <v>79.89</v>
      </c>
      <c r="M9" s="63">
        <v>60.46</v>
      </c>
      <c r="N9" s="63">
        <v>73.67</v>
      </c>
      <c r="O9" s="63">
        <v>31.94</v>
      </c>
      <c r="P9" s="63">
        <v>73.069999999999993</v>
      </c>
    </row>
    <row r="10" spans="1:16" x14ac:dyDescent="0.3">
      <c r="A10" s="26" t="s">
        <v>1797</v>
      </c>
      <c r="B10" s="26" t="s">
        <v>1798</v>
      </c>
      <c r="C10" s="26" t="s">
        <v>1790</v>
      </c>
      <c r="D10" s="64">
        <v>43.49</v>
      </c>
      <c r="E10" s="64">
        <v>42.07</v>
      </c>
      <c r="F10" s="64">
        <v>44.98</v>
      </c>
      <c r="G10" s="64">
        <v>36.75</v>
      </c>
      <c r="H10" s="64">
        <v>44.99</v>
      </c>
      <c r="I10" s="64">
        <v>19.22</v>
      </c>
      <c r="J10" s="64">
        <v>46.51</v>
      </c>
      <c r="K10" s="64">
        <v>26.52</v>
      </c>
      <c r="L10" s="64">
        <v>54.79</v>
      </c>
      <c r="M10" s="64">
        <v>39.340000000000003</v>
      </c>
      <c r="N10" s="64">
        <v>51.94</v>
      </c>
      <c r="O10" s="64">
        <v>16.04</v>
      </c>
      <c r="P10" s="64">
        <v>50.38</v>
      </c>
    </row>
    <row r="11" spans="1:16" x14ac:dyDescent="0.3">
      <c r="A11" s="25" t="s">
        <v>1799</v>
      </c>
      <c r="B11" s="25" t="s">
        <v>1800</v>
      </c>
      <c r="C11" s="25" t="s">
        <v>1790</v>
      </c>
      <c r="D11" s="63">
        <v>16.510000000000002</v>
      </c>
      <c r="E11" s="63">
        <v>18.82</v>
      </c>
      <c r="F11" s="63">
        <v>14.09</v>
      </c>
      <c r="G11" s="63">
        <v>20.05</v>
      </c>
      <c r="H11" s="63">
        <v>15.73</v>
      </c>
      <c r="I11" s="63">
        <v>27.98</v>
      </c>
      <c r="J11" s="63">
        <v>15.04</v>
      </c>
      <c r="K11" s="63">
        <v>26.14</v>
      </c>
      <c r="L11" s="63">
        <v>10.1</v>
      </c>
      <c r="M11" s="63">
        <v>17.87</v>
      </c>
      <c r="N11" s="63">
        <v>13.75</v>
      </c>
      <c r="O11" s="63">
        <v>33.56</v>
      </c>
      <c r="P11" s="63">
        <v>12.23</v>
      </c>
    </row>
    <row r="12" spans="1:16" x14ac:dyDescent="0.3">
      <c r="A12" s="26" t="s">
        <v>1801</v>
      </c>
      <c r="B12" s="26" t="s">
        <v>1802</v>
      </c>
      <c r="C12" s="26" t="s">
        <v>1790</v>
      </c>
      <c r="D12" s="64">
        <v>21.13</v>
      </c>
      <c r="E12" s="64">
        <v>22.13</v>
      </c>
      <c r="F12" s="64">
        <v>20.079999999999998</v>
      </c>
      <c r="G12" s="64">
        <v>10.89</v>
      </c>
      <c r="H12" s="64">
        <v>23.41</v>
      </c>
      <c r="I12" s="64">
        <v>53.72</v>
      </c>
      <c r="J12" s="64">
        <v>17.010000000000002</v>
      </c>
      <c r="K12" s="64">
        <v>37.18</v>
      </c>
      <c r="L12" s="64">
        <v>10.45</v>
      </c>
      <c r="M12" s="64">
        <v>21.82</v>
      </c>
      <c r="N12" s="64">
        <v>19.73</v>
      </c>
      <c r="O12" s="64">
        <v>37.18</v>
      </c>
      <c r="P12" s="64">
        <v>17.11</v>
      </c>
    </row>
    <row r="13" spans="1:16" x14ac:dyDescent="0.3">
      <c r="A13" s="25" t="s">
        <v>1803</v>
      </c>
      <c r="B13" s="25" t="s">
        <v>1804</v>
      </c>
      <c r="C13" s="25" t="s">
        <v>1805</v>
      </c>
      <c r="D13" s="63">
        <v>62.38</v>
      </c>
      <c r="E13" s="63">
        <v>61.4</v>
      </c>
      <c r="F13" s="63">
        <v>63.4</v>
      </c>
      <c r="G13" s="63">
        <v>66.59</v>
      </c>
      <c r="H13" s="63">
        <v>61.44</v>
      </c>
      <c r="I13" s="63">
        <v>26.47</v>
      </c>
      <c r="J13" s="63">
        <v>66.89</v>
      </c>
      <c r="K13" s="63">
        <v>38.590000000000003</v>
      </c>
      <c r="L13" s="63">
        <v>78.209999999999994</v>
      </c>
      <c r="M13" s="63">
        <v>59.52</v>
      </c>
      <c r="N13" s="63">
        <v>68.19</v>
      </c>
      <c r="O13" s="63">
        <v>30.94</v>
      </c>
      <c r="P13" s="63">
        <v>70.27</v>
      </c>
    </row>
    <row r="14" spans="1:16" x14ac:dyDescent="0.3">
      <c r="A14" s="26" t="s">
        <v>1806</v>
      </c>
      <c r="B14" s="26" t="s">
        <v>1807</v>
      </c>
      <c r="C14" s="26" t="s">
        <v>1805</v>
      </c>
      <c r="D14" s="64">
        <v>56.47</v>
      </c>
      <c r="E14" s="64">
        <v>56.53</v>
      </c>
      <c r="F14" s="64">
        <v>56.41</v>
      </c>
      <c r="G14" s="64">
        <v>63.18</v>
      </c>
      <c r="H14" s="64">
        <v>54.98</v>
      </c>
      <c r="I14" s="64">
        <v>16.579999999999998</v>
      </c>
      <c r="J14" s="64">
        <v>61.47</v>
      </c>
      <c r="K14" s="64">
        <v>31.13</v>
      </c>
      <c r="L14" s="64">
        <v>73.34</v>
      </c>
      <c r="M14" s="64">
        <v>54.16</v>
      </c>
      <c r="N14" s="64">
        <v>61.16</v>
      </c>
      <c r="O14" s="64">
        <v>25.05</v>
      </c>
      <c r="P14" s="64">
        <v>64.36</v>
      </c>
    </row>
    <row r="15" spans="1:16" x14ac:dyDescent="0.3">
      <c r="A15" s="25" t="s">
        <v>1808</v>
      </c>
      <c r="B15" s="25" t="s">
        <v>1809</v>
      </c>
      <c r="C15" s="25" t="s">
        <v>1805</v>
      </c>
      <c r="D15" s="63">
        <v>48.05</v>
      </c>
      <c r="E15" s="63">
        <v>46.29</v>
      </c>
      <c r="F15" s="63">
        <v>49.89</v>
      </c>
      <c r="G15" s="63">
        <v>47.11</v>
      </c>
      <c r="H15" s="63">
        <v>48.26</v>
      </c>
      <c r="I15" s="63">
        <v>17.260000000000002</v>
      </c>
      <c r="J15" s="63">
        <v>51.89</v>
      </c>
      <c r="K15" s="63">
        <v>27.14</v>
      </c>
      <c r="L15" s="63">
        <v>61.97</v>
      </c>
      <c r="M15" s="63">
        <v>44.69</v>
      </c>
      <c r="N15" s="63">
        <v>54.88</v>
      </c>
      <c r="O15" s="63">
        <v>17.239999999999998</v>
      </c>
      <c r="P15" s="63">
        <v>55.78</v>
      </c>
    </row>
    <row r="16" spans="1:16" x14ac:dyDescent="0.3">
      <c r="A16" s="26" t="s">
        <v>1810</v>
      </c>
      <c r="B16" s="26" t="s">
        <v>1811</v>
      </c>
      <c r="C16" s="26" t="s">
        <v>1805</v>
      </c>
      <c r="D16" s="64">
        <v>60.68</v>
      </c>
      <c r="E16" s="64">
        <v>60.44</v>
      </c>
      <c r="F16" s="64">
        <v>60.93</v>
      </c>
      <c r="G16" s="64">
        <v>66.97</v>
      </c>
      <c r="H16" s="64">
        <v>59.28</v>
      </c>
      <c r="I16" s="64">
        <v>17.84</v>
      </c>
      <c r="J16" s="64">
        <v>66.17</v>
      </c>
      <c r="K16" s="64">
        <v>36.07</v>
      </c>
      <c r="L16" s="64">
        <v>77.05</v>
      </c>
      <c r="M16" s="64">
        <v>57.07</v>
      </c>
      <c r="N16" s="64">
        <v>67.989999999999995</v>
      </c>
      <c r="O16" s="64">
        <v>28.79</v>
      </c>
      <c r="P16" s="64">
        <v>68.680000000000007</v>
      </c>
    </row>
    <row r="17" spans="1:16" x14ac:dyDescent="0.3">
      <c r="A17" s="25" t="s">
        <v>1812</v>
      </c>
      <c r="B17" s="25" t="s">
        <v>1813</v>
      </c>
      <c r="C17" s="25" t="s">
        <v>1805</v>
      </c>
      <c r="D17" s="63">
        <v>51.13</v>
      </c>
      <c r="E17" s="63">
        <v>52.69</v>
      </c>
      <c r="F17" s="63">
        <v>49.48</v>
      </c>
      <c r="G17" s="63">
        <v>60.76</v>
      </c>
      <c r="H17" s="63">
        <v>48.99</v>
      </c>
      <c r="I17" s="63">
        <v>8.02</v>
      </c>
      <c r="J17" s="63">
        <v>56.52</v>
      </c>
      <c r="K17" s="63">
        <v>26.48</v>
      </c>
      <c r="L17" s="63">
        <v>67.53</v>
      </c>
      <c r="M17" s="63">
        <v>47.69</v>
      </c>
      <c r="N17" s="63">
        <v>58.1</v>
      </c>
      <c r="O17" s="63">
        <v>22.13</v>
      </c>
      <c r="P17" s="63">
        <v>58.4</v>
      </c>
    </row>
    <row r="18" spans="1:16" x14ac:dyDescent="0.3">
      <c r="A18" s="26" t="s">
        <v>1814</v>
      </c>
      <c r="B18" s="26" t="s">
        <v>1815</v>
      </c>
      <c r="C18" s="26" t="s">
        <v>1805</v>
      </c>
      <c r="D18" s="64">
        <v>48.26</v>
      </c>
      <c r="E18" s="64">
        <v>49.48</v>
      </c>
      <c r="F18" s="64">
        <v>46.98</v>
      </c>
      <c r="G18" s="64">
        <v>56.97</v>
      </c>
      <c r="H18" s="64">
        <v>46.33</v>
      </c>
      <c r="I18" s="64">
        <v>7.33</v>
      </c>
      <c r="J18" s="64">
        <v>53.37</v>
      </c>
      <c r="K18" s="64">
        <v>23.63</v>
      </c>
      <c r="L18" s="64">
        <v>64.650000000000006</v>
      </c>
      <c r="M18" s="64">
        <v>44.42</v>
      </c>
      <c r="N18" s="64">
        <v>56.07</v>
      </c>
      <c r="O18" s="64">
        <v>21.42</v>
      </c>
      <c r="P18" s="64">
        <v>54.99</v>
      </c>
    </row>
    <row r="19" spans="1:16" x14ac:dyDescent="0.3">
      <c r="A19" s="25" t="s">
        <v>1748</v>
      </c>
      <c r="B19" s="25" t="s">
        <v>1749</v>
      </c>
      <c r="C19" s="25" t="s">
        <v>1805</v>
      </c>
      <c r="D19" s="63">
        <v>25.66</v>
      </c>
      <c r="E19" s="63">
        <v>28.06</v>
      </c>
      <c r="F19" s="63">
        <v>23.15</v>
      </c>
      <c r="G19" s="63">
        <v>28.94</v>
      </c>
      <c r="H19" s="63">
        <v>24.94</v>
      </c>
      <c r="I19" s="63">
        <v>1.87</v>
      </c>
      <c r="J19" s="63">
        <v>28.58</v>
      </c>
      <c r="K19" s="63">
        <v>9.7799999999999994</v>
      </c>
      <c r="L19" s="63">
        <v>36.229999999999997</v>
      </c>
      <c r="M19" s="63">
        <v>20.58</v>
      </c>
      <c r="N19" s="63">
        <v>35.979999999999997</v>
      </c>
      <c r="O19" s="63">
        <v>9.65</v>
      </c>
      <c r="P19" s="63">
        <v>29.68</v>
      </c>
    </row>
    <row r="20" spans="1:16" x14ac:dyDescent="0.3">
      <c r="A20" s="26" t="s">
        <v>1816</v>
      </c>
      <c r="B20" s="26" t="s">
        <v>1817</v>
      </c>
      <c r="C20" s="26" t="s">
        <v>1805</v>
      </c>
      <c r="D20" s="64">
        <v>45.5</v>
      </c>
      <c r="E20" s="64">
        <v>46.89</v>
      </c>
      <c r="F20" s="64">
        <v>44.05</v>
      </c>
      <c r="G20" s="64">
        <v>40.76</v>
      </c>
      <c r="H20" s="64">
        <v>46.56</v>
      </c>
      <c r="I20" s="64">
        <v>10.47</v>
      </c>
      <c r="J20" s="64">
        <v>49.87</v>
      </c>
      <c r="K20" s="64">
        <v>23.52</v>
      </c>
      <c r="L20" s="64">
        <v>60.13</v>
      </c>
      <c r="M20" s="64">
        <v>42.33</v>
      </c>
      <c r="N20" s="64">
        <v>51.95</v>
      </c>
      <c r="O20" s="64">
        <v>16.14</v>
      </c>
      <c r="P20" s="64">
        <v>52.87</v>
      </c>
    </row>
    <row r="21" spans="1:16" x14ac:dyDescent="0.3">
      <c r="A21" s="25" t="s">
        <v>1818</v>
      </c>
      <c r="B21" s="25" t="s">
        <v>1819</v>
      </c>
      <c r="C21" s="25" t="s">
        <v>1805</v>
      </c>
      <c r="D21" s="63">
        <v>46.24</v>
      </c>
      <c r="E21" s="63">
        <v>51.09</v>
      </c>
      <c r="F21" s="63">
        <v>41.15</v>
      </c>
      <c r="G21" s="63">
        <v>61.89</v>
      </c>
      <c r="H21" s="63">
        <v>42.76</v>
      </c>
      <c r="I21" s="63">
        <v>8.68</v>
      </c>
      <c r="J21" s="63">
        <v>50.93</v>
      </c>
      <c r="K21" s="63">
        <v>24.71</v>
      </c>
      <c r="L21" s="63">
        <v>60.57</v>
      </c>
      <c r="M21" s="63">
        <v>42.18</v>
      </c>
      <c r="N21" s="63">
        <v>54.48</v>
      </c>
      <c r="O21" s="63">
        <v>23.75</v>
      </c>
      <c r="P21" s="63">
        <v>51.88</v>
      </c>
    </row>
    <row r="22" spans="1:16" x14ac:dyDescent="0.3">
      <c r="A22" s="26" t="s">
        <v>1820</v>
      </c>
      <c r="B22" s="26" t="s">
        <v>1821</v>
      </c>
      <c r="C22" s="26" t="s">
        <v>1805</v>
      </c>
      <c r="D22" s="64">
        <v>34.19</v>
      </c>
      <c r="E22" s="64">
        <v>39.32</v>
      </c>
      <c r="F22" s="64">
        <v>28.82</v>
      </c>
      <c r="G22" s="64">
        <v>43.15</v>
      </c>
      <c r="H22" s="64">
        <v>32.200000000000003</v>
      </c>
      <c r="I22" s="64">
        <v>2.64</v>
      </c>
      <c r="J22" s="64">
        <v>38.1</v>
      </c>
      <c r="K22" s="64">
        <v>14.32</v>
      </c>
      <c r="L22" s="64">
        <v>47.42</v>
      </c>
      <c r="M22" s="64">
        <v>30.76</v>
      </c>
      <c r="N22" s="64">
        <v>41.15</v>
      </c>
      <c r="O22" s="64">
        <v>15.83</v>
      </c>
      <c r="P22" s="64">
        <v>38.799999999999997</v>
      </c>
    </row>
    <row r="23" spans="1:16" x14ac:dyDescent="0.3">
      <c r="A23" s="25" t="s">
        <v>1822</v>
      </c>
      <c r="B23" s="25" t="s">
        <v>1823</v>
      </c>
      <c r="C23" s="25" t="s">
        <v>1805</v>
      </c>
      <c r="D23" s="63">
        <v>12.05</v>
      </c>
      <c r="E23" s="63">
        <v>11.77</v>
      </c>
      <c r="F23" s="63">
        <v>12.34</v>
      </c>
      <c r="G23" s="63">
        <v>18.739999999999998</v>
      </c>
      <c r="H23" s="63">
        <v>10.56</v>
      </c>
      <c r="I23" s="63">
        <v>6.04</v>
      </c>
      <c r="J23" s="63">
        <v>12.82</v>
      </c>
      <c r="K23" s="63">
        <v>10.39</v>
      </c>
      <c r="L23" s="63">
        <v>13.15</v>
      </c>
      <c r="M23" s="63">
        <v>11.42</v>
      </c>
      <c r="N23" s="63">
        <v>13.33</v>
      </c>
      <c r="O23" s="63">
        <v>7.93</v>
      </c>
      <c r="P23" s="63">
        <v>13.08</v>
      </c>
    </row>
    <row r="24" spans="1:16" x14ac:dyDescent="0.3">
      <c r="A24" s="26" t="s">
        <v>1824</v>
      </c>
      <c r="B24" s="26" t="s">
        <v>1825</v>
      </c>
      <c r="C24" s="26" t="s">
        <v>1805</v>
      </c>
      <c r="D24" s="64">
        <v>58.06</v>
      </c>
      <c r="E24" s="64">
        <v>69.010000000000005</v>
      </c>
      <c r="F24" s="64">
        <v>46.58</v>
      </c>
      <c r="G24" s="64">
        <v>22.09</v>
      </c>
      <c r="H24" s="64">
        <v>66.05</v>
      </c>
      <c r="I24" s="64">
        <v>51.53</v>
      </c>
      <c r="J24" s="64">
        <v>58.81</v>
      </c>
      <c r="K24" s="64">
        <v>53.21</v>
      </c>
      <c r="L24" s="64">
        <v>61.29</v>
      </c>
      <c r="M24" s="64">
        <v>57.42</v>
      </c>
      <c r="N24" s="64">
        <v>59.35</v>
      </c>
      <c r="O24" s="64">
        <v>34.619999999999997</v>
      </c>
      <c r="P24" s="64">
        <v>63.94</v>
      </c>
    </row>
    <row r="25" spans="1:16" x14ac:dyDescent="0.3">
      <c r="A25" s="25" t="s">
        <v>1826</v>
      </c>
      <c r="B25" s="25" t="s">
        <v>1827</v>
      </c>
      <c r="C25" s="25" t="s">
        <v>1805</v>
      </c>
      <c r="D25" s="63">
        <v>32.700000000000003</v>
      </c>
      <c r="E25" s="63">
        <v>39.229999999999997</v>
      </c>
      <c r="F25" s="63">
        <v>25.86</v>
      </c>
      <c r="G25" s="63">
        <v>15.87</v>
      </c>
      <c r="H25" s="63">
        <v>36.44</v>
      </c>
      <c r="I25" s="63">
        <v>7.37</v>
      </c>
      <c r="J25" s="63">
        <v>35.83</v>
      </c>
      <c r="K25" s="63">
        <v>16.04</v>
      </c>
      <c r="L25" s="63">
        <v>43.79</v>
      </c>
      <c r="M25" s="63">
        <v>30.13</v>
      </c>
      <c r="N25" s="63">
        <v>37.93</v>
      </c>
      <c r="O25" s="63">
        <v>10.43</v>
      </c>
      <c r="P25" s="63">
        <v>38.29</v>
      </c>
    </row>
    <row r="26" spans="1:16" x14ac:dyDescent="0.3">
      <c r="A26" s="26" t="s">
        <v>1828</v>
      </c>
      <c r="B26" s="26" t="s">
        <v>1829</v>
      </c>
      <c r="C26" s="26" t="s">
        <v>1805</v>
      </c>
      <c r="D26" s="64">
        <v>25.06</v>
      </c>
      <c r="E26" s="64">
        <v>29.54</v>
      </c>
      <c r="F26" s="64">
        <v>20.37</v>
      </c>
      <c r="G26" s="64">
        <v>6.08</v>
      </c>
      <c r="H26" s="64">
        <v>29.28</v>
      </c>
      <c r="I26" s="64">
        <v>42.51</v>
      </c>
      <c r="J26" s="64">
        <v>22.91</v>
      </c>
      <c r="K26" s="64">
        <v>37.1</v>
      </c>
      <c r="L26" s="64">
        <v>17.05</v>
      </c>
      <c r="M26" s="64">
        <v>27.18</v>
      </c>
      <c r="N26" s="64">
        <v>20.77</v>
      </c>
      <c r="O26" s="64">
        <v>23.91</v>
      </c>
      <c r="P26" s="64">
        <v>25.35</v>
      </c>
    </row>
    <row r="27" spans="1:16" x14ac:dyDescent="0.3">
      <c r="A27" s="25" t="s">
        <v>1750</v>
      </c>
      <c r="B27" s="25" t="s">
        <v>1751</v>
      </c>
      <c r="C27" s="25" t="s">
        <v>1805</v>
      </c>
      <c r="D27" s="63">
        <v>61.57</v>
      </c>
      <c r="E27" s="63">
        <v>60.44</v>
      </c>
      <c r="F27" s="63">
        <v>62.76</v>
      </c>
      <c r="G27" s="63">
        <v>66.55</v>
      </c>
      <c r="H27" s="63">
        <v>60.47</v>
      </c>
      <c r="I27" s="63">
        <v>18.54</v>
      </c>
      <c r="J27" s="63">
        <v>66.98</v>
      </c>
      <c r="K27" s="63">
        <v>36.08</v>
      </c>
      <c r="L27" s="63">
        <v>78.540000000000006</v>
      </c>
      <c r="M27" s="63">
        <v>57.83</v>
      </c>
      <c r="N27" s="63">
        <v>69.19</v>
      </c>
      <c r="O27" s="63">
        <v>27.49</v>
      </c>
      <c r="P27" s="63">
        <v>70.13</v>
      </c>
    </row>
    <row r="28" spans="1:16" x14ac:dyDescent="0.3">
      <c r="A28" s="26" t="s">
        <v>1830</v>
      </c>
      <c r="B28" s="26" t="s">
        <v>1831</v>
      </c>
      <c r="C28" s="26" t="s">
        <v>1832</v>
      </c>
      <c r="D28" s="64">
        <v>68.569999999999993</v>
      </c>
      <c r="E28" s="64">
        <v>70.7</v>
      </c>
      <c r="F28" s="64">
        <v>66.34</v>
      </c>
      <c r="G28" s="64">
        <v>56.1</v>
      </c>
      <c r="H28" s="64">
        <v>71.34</v>
      </c>
      <c r="I28" s="64">
        <v>46.93</v>
      </c>
      <c r="J28" s="64">
        <v>71.3</v>
      </c>
      <c r="K28" s="64">
        <v>57.46</v>
      </c>
      <c r="L28" s="64">
        <v>75.959999999999994</v>
      </c>
      <c r="M28" s="64">
        <v>67.489999999999995</v>
      </c>
      <c r="N28" s="64">
        <v>70.760000000000005</v>
      </c>
      <c r="O28" s="64">
        <v>47.94</v>
      </c>
      <c r="P28" s="64">
        <v>73.75</v>
      </c>
    </row>
    <row r="29" spans="1:16" x14ac:dyDescent="0.3">
      <c r="A29" s="25" t="s">
        <v>1729</v>
      </c>
      <c r="B29" s="25" t="s">
        <v>1730</v>
      </c>
      <c r="C29" s="25" t="s">
        <v>1832</v>
      </c>
      <c r="D29" s="63">
        <v>43.09</v>
      </c>
      <c r="E29" s="63">
        <v>45.07</v>
      </c>
      <c r="F29" s="63">
        <v>41.01</v>
      </c>
      <c r="G29" s="63">
        <v>38.58</v>
      </c>
      <c r="H29" s="63">
        <v>44.09</v>
      </c>
      <c r="I29" s="63">
        <v>13.97</v>
      </c>
      <c r="J29" s="63">
        <v>46.71</v>
      </c>
      <c r="K29" s="63">
        <v>27.05</v>
      </c>
      <c r="L29" s="63">
        <v>53.76</v>
      </c>
      <c r="M29" s="63">
        <v>40.47</v>
      </c>
      <c r="N29" s="63">
        <v>48.41</v>
      </c>
      <c r="O29" s="63">
        <v>21.95</v>
      </c>
      <c r="P29" s="63">
        <v>48.39</v>
      </c>
    </row>
    <row r="30" spans="1:16" x14ac:dyDescent="0.3">
      <c r="A30" s="26" t="s">
        <v>1833</v>
      </c>
      <c r="B30" s="26" t="s">
        <v>1834</v>
      </c>
      <c r="C30" s="26" t="s">
        <v>1832</v>
      </c>
      <c r="D30" s="64">
        <v>10.06</v>
      </c>
      <c r="E30" s="64">
        <v>9.36</v>
      </c>
      <c r="F30" s="64">
        <v>10.8</v>
      </c>
      <c r="G30" s="64">
        <v>15.57</v>
      </c>
      <c r="H30" s="64">
        <v>8.84</v>
      </c>
      <c r="I30" s="64">
        <v>1.47</v>
      </c>
      <c r="J30" s="64">
        <v>11.16</v>
      </c>
      <c r="K30" s="64">
        <v>6.9</v>
      </c>
      <c r="L30" s="64">
        <v>12.16</v>
      </c>
      <c r="M30" s="64">
        <v>8.9700000000000006</v>
      </c>
      <c r="N30" s="64">
        <v>12.27</v>
      </c>
      <c r="O30" s="64">
        <v>6.99</v>
      </c>
      <c r="P30" s="64">
        <v>10.83</v>
      </c>
    </row>
    <row r="31" spans="1:16" x14ac:dyDescent="0.3">
      <c r="A31" s="25" t="s">
        <v>1737</v>
      </c>
      <c r="B31" s="25" t="s">
        <v>1738</v>
      </c>
      <c r="C31" s="25" t="s">
        <v>1832</v>
      </c>
      <c r="D31" s="63">
        <v>20.16</v>
      </c>
      <c r="E31" s="63">
        <v>23.37</v>
      </c>
      <c r="F31" s="63">
        <v>16.809999999999999</v>
      </c>
      <c r="G31" s="63">
        <v>8.24</v>
      </c>
      <c r="H31" s="63">
        <v>22.81</v>
      </c>
      <c r="I31" s="63">
        <v>7.9</v>
      </c>
      <c r="J31" s="63">
        <v>21.74</v>
      </c>
      <c r="K31" s="63">
        <v>10.62</v>
      </c>
      <c r="L31" s="63">
        <v>26.51</v>
      </c>
      <c r="M31" s="63">
        <v>18</v>
      </c>
      <c r="N31" s="63">
        <v>24.56</v>
      </c>
      <c r="O31" s="63">
        <v>7.99</v>
      </c>
      <c r="P31" s="63">
        <v>23.22</v>
      </c>
    </row>
    <row r="32" spans="1:16" x14ac:dyDescent="0.3">
      <c r="A32" s="26" t="s">
        <v>1731</v>
      </c>
      <c r="B32" s="26" t="s">
        <v>1732</v>
      </c>
      <c r="C32" s="26" t="s">
        <v>1832</v>
      </c>
      <c r="D32" s="64">
        <v>19.64</v>
      </c>
      <c r="E32" s="64">
        <v>22.45</v>
      </c>
      <c r="F32" s="64">
        <v>16.7</v>
      </c>
      <c r="G32" s="64">
        <v>19.809999999999999</v>
      </c>
      <c r="H32" s="64">
        <v>19.600000000000001</v>
      </c>
      <c r="I32" s="64">
        <v>4.1399999999999997</v>
      </c>
      <c r="J32" s="64">
        <v>21.51</v>
      </c>
      <c r="K32" s="64">
        <v>9.56</v>
      </c>
      <c r="L32" s="64">
        <v>26.36</v>
      </c>
      <c r="M32" s="64">
        <v>16.809999999999999</v>
      </c>
      <c r="N32" s="64">
        <v>25.4</v>
      </c>
      <c r="O32" s="64">
        <v>6.24</v>
      </c>
      <c r="P32" s="64">
        <v>23</v>
      </c>
    </row>
    <row r="33" spans="1:16" x14ac:dyDescent="0.3">
      <c r="A33" s="25" t="s">
        <v>1733</v>
      </c>
      <c r="B33" s="25" t="s">
        <v>1734</v>
      </c>
      <c r="C33" s="25" t="s">
        <v>1832</v>
      </c>
      <c r="D33" s="63">
        <v>58.38</v>
      </c>
      <c r="E33" s="63">
        <v>57.35</v>
      </c>
      <c r="F33" s="63">
        <v>59.46</v>
      </c>
      <c r="G33" s="63">
        <v>58.51</v>
      </c>
      <c r="H33" s="63">
        <v>58.35</v>
      </c>
      <c r="I33" s="63">
        <v>21.1</v>
      </c>
      <c r="J33" s="63">
        <v>63.17</v>
      </c>
      <c r="K33" s="63">
        <v>33.28</v>
      </c>
      <c r="L33" s="63">
        <v>75.09</v>
      </c>
      <c r="M33" s="63">
        <v>53.13</v>
      </c>
      <c r="N33" s="63">
        <v>69.03</v>
      </c>
      <c r="O33" s="63">
        <v>26.07</v>
      </c>
      <c r="P33" s="63">
        <v>66.48</v>
      </c>
    </row>
    <row r="34" spans="1:16" x14ac:dyDescent="0.3">
      <c r="A34" s="26" t="s">
        <v>1735</v>
      </c>
      <c r="B34" s="26" t="s">
        <v>1736</v>
      </c>
      <c r="C34" s="26" t="s">
        <v>1832</v>
      </c>
      <c r="D34" s="64">
        <v>29.98</v>
      </c>
      <c r="E34" s="64">
        <v>31.55</v>
      </c>
      <c r="F34" s="64">
        <v>28.33</v>
      </c>
      <c r="G34" s="64">
        <v>20.37</v>
      </c>
      <c r="H34" s="64">
        <v>32.119999999999997</v>
      </c>
      <c r="I34" s="64">
        <v>7.83</v>
      </c>
      <c r="J34" s="64">
        <v>32.700000000000003</v>
      </c>
      <c r="K34" s="64">
        <v>17.41</v>
      </c>
      <c r="L34" s="64">
        <v>38.35</v>
      </c>
      <c r="M34" s="64">
        <v>26.57</v>
      </c>
      <c r="N34" s="64">
        <v>36.9</v>
      </c>
      <c r="O34" s="64">
        <v>11.78</v>
      </c>
      <c r="P34" s="64">
        <v>34.549999999999997</v>
      </c>
    </row>
    <row r="35" spans="1:16" x14ac:dyDescent="0.3">
      <c r="A35" s="25" t="s">
        <v>1835</v>
      </c>
      <c r="B35" s="25" t="s">
        <v>1836</v>
      </c>
      <c r="C35" s="25" t="s">
        <v>1837</v>
      </c>
      <c r="D35" s="63">
        <v>43.2</v>
      </c>
      <c r="E35" s="63">
        <v>43.02</v>
      </c>
      <c r="F35" s="63">
        <v>43.38</v>
      </c>
      <c r="G35" s="63">
        <v>40.42</v>
      </c>
      <c r="H35" s="63">
        <v>43.81</v>
      </c>
      <c r="I35" s="63">
        <v>38.74</v>
      </c>
      <c r="J35" s="63">
        <v>43.77</v>
      </c>
      <c r="K35" s="63">
        <v>39.57</v>
      </c>
      <c r="L35" s="63">
        <v>45.61</v>
      </c>
      <c r="M35" s="63">
        <v>43.13</v>
      </c>
      <c r="N35" s="63">
        <v>43.34</v>
      </c>
      <c r="O35" s="63">
        <v>34.299999999999997</v>
      </c>
      <c r="P35" s="63">
        <v>45.43</v>
      </c>
    </row>
    <row r="36" spans="1:16" x14ac:dyDescent="0.3">
      <c r="A36" s="26" t="s">
        <v>1838</v>
      </c>
      <c r="B36" s="26" t="s">
        <v>1839</v>
      </c>
      <c r="C36" s="26" t="s">
        <v>1837</v>
      </c>
      <c r="D36" s="64">
        <v>33.590000000000003</v>
      </c>
      <c r="E36" s="64">
        <v>34.81</v>
      </c>
      <c r="F36" s="64">
        <v>32.31</v>
      </c>
      <c r="G36" s="64">
        <v>35.21</v>
      </c>
      <c r="H36" s="64">
        <v>33.229999999999997</v>
      </c>
      <c r="I36" s="64">
        <v>31.38</v>
      </c>
      <c r="J36" s="64">
        <v>33.86</v>
      </c>
      <c r="K36" s="64">
        <v>33.18</v>
      </c>
      <c r="L36" s="64">
        <v>33.86</v>
      </c>
      <c r="M36" s="64">
        <v>33.24</v>
      </c>
      <c r="N36" s="64">
        <v>34.29</v>
      </c>
      <c r="O36" s="64">
        <v>24.96</v>
      </c>
      <c r="P36" s="64">
        <v>35.75</v>
      </c>
    </row>
    <row r="37" spans="1:16" x14ac:dyDescent="0.3">
      <c r="A37" s="25" t="s">
        <v>1840</v>
      </c>
      <c r="B37" s="25" t="s">
        <v>1841</v>
      </c>
      <c r="C37" s="25" t="s">
        <v>1842</v>
      </c>
      <c r="D37" s="63">
        <v>17.059999999999999</v>
      </c>
      <c r="E37" s="63">
        <v>20.149999999999999</v>
      </c>
      <c r="F37" s="63">
        <v>13.82</v>
      </c>
      <c r="G37" s="63">
        <v>4.84</v>
      </c>
      <c r="H37" s="63">
        <v>19.77</v>
      </c>
      <c r="I37" s="63">
        <v>18.46</v>
      </c>
      <c r="J37" s="63">
        <v>16.8</v>
      </c>
      <c r="K37" s="63">
        <v>18.64</v>
      </c>
      <c r="L37" s="63">
        <v>16.010000000000002</v>
      </c>
      <c r="M37" s="63">
        <v>18.16</v>
      </c>
      <c r="N37" s="63">
        <v>14.83</v>
      </c>
      <c r="O37" s="63">
        <v>10.97</v>
      </c>
      <c r="P37" s="63">
        <v>18.59</v>
      </c>
    </row>
    <row r="38" spans="1:16" x14ac:dyDescent="0.3">
      <c r="A38" s="26" t="s">
        <v>1843</v>
      </c>
      <c r="B38" s="26" t="s">
        <v>1844</v>
      </c>
      <c r="C38" s="26" t="s">
        <v>1845</v>
      </c>
      <c r="D38" s="64">
        <v>45.62</v>
      </c>
      <c r="E38" s="64">
        <v>41.15</v>
      </c>
      <c r="F38" s="64">
        <v>50.31</v>
      </c>
      <c r="G38" s="64">
        <v>43.03</v>
      </c>
      <c r="H38" s="64">
        <v>46.2</v>
      </c>
      <c r="I38" s="64">
        <v>30.66</v>
      </c>
      <c r="J38" s="64">
        <v>47.58</v>
      </c>
      <c r="K38" s="64">
        <v>30.94</v>
      </c>
      <c r="L38" s="64">
        <v>55.39</v>
      </c>
      <c r="M38" s="64">
        <v>42.66</v>
      </c>
      <c r="N38" s="64">
        <v>51.64</v>
      </c>
      <c r="O38" s="64">
        <v>6.33</v>
      </c>
      <c r="P38" s="64">
        <v>55.48</v>
      </c>
    </row>
    <row r="39" spans="1:16" x14ac:dyDescent="0.3">
      <c r="A39" s="25" t="s">
        <v>1752</v>
      </c>
      <c r="B39" s="25" t="s">
        <v>1753</v>
      </c>
      <c r="C39" s="25" t="s">
        <v>1845</v>
      </c>
      <c r="D39" s="63">
        <v>36.99</v>
      </c>
      <c r="E39" s="63">
        <v>34.78</v>
      </c>
      <c r="F39" s="63">
        <v>39.31</v>
      </c>
      <c r="G39" s="63">
        <v>36.93</v>
      </c>
      <c r="H39" s="63">
        <v>37.01</v>
      </c>
      <c r="I39" s="63">
        <v>10.35</v>
      </c>
      <c r="J39" s="63">
        <v>40.4</v>
      </c>
      <c r="K39" s="63">
        <v>18.14</v>
      </c>
      <c r="L39" s="63">
        <v>49.54</v>
      </c>
      <c r="M39" s="63">
        <v>33.51</v>
      </c>
      <c r="N39" s="63">
        <v>44.06</v>
      </c>
      <c r="O39" s="63">
        <v>4.3899999999999997</v>
      </c>
      <c r="P39" s="63">
        <v>45.17</v>
      </c>
    </row>
    <row r="40" spans="1:16" x14ac:dyDescent="0.3">
      <c r="A40" s="26" t="s">
        <v>1846</v>
      </c>
      <c r="B40" s="26" t="s">
        <v>1847</v>
      </c>
      <c r="C40" s="26" t="s">
        <v>1845</v>
      </c>
      <c r="D40" s="64">
        <v>19.66</v>
      </c>
      <c r="E40" s="64">
        <v>18.82</v>
      </c>
      <c r="F40" s="64">
        <v>20.55</v>
      </c>
      <c r="G40" s="64">
        <v>21.86</v>
      </c>
      <c r="H40" s="64">
        <v>19.18</v>
      </c>
      <c r="I40" s="64">
        <v>6.33</v>
      </c>
      <c r="J40" s="64">
        <v>21.37</v>
      </c>
      <c r="K40" s="64">
        <v>7.42</v>
      </c>
      <c r="L40" s="64">
        <v>27.81</v>
      </c>
      <c r="M40" s="64">
        <v>15.5</v>
      </c>
      <c r="N40" s="64">
        <v>28.11</v>
      </c>
      <c r="O40" s="64">
        <v>4.01</v>
      </c>
      <c r="P40" s="64">
        <v>23.59</v>
      </c>
    </row>
    <row r="41" spans="1:16" x14ac:dyDescent="0.3">
      <c r="A41" s="25" t="s">
        <v>1848</v>
      </c>
      <c r="B41" s="25" t="s">
        <v>1849</v>
      </c>
      <c r="C41" s="25" t="s">
        <v>1845</v>
      </c>
      <c r="D41" s="63">
        <v>23.75</v>
      </c>
      <c r="E41" s="63">
        <v>22.37</v>
      </c>
      <c r="F41" s="63">
        <v>25.2</v>
      </c>
      <c r="G41" s="63">
        <v>9.5</v>
      </c>
      <c r="H41" s="63">
        <v>26.92</v>
      </c>
      <c r="I41" s="63">
        <v>26.26</v>
      </c>
      <c r="J41" s="63">
        <v>23.48</v>
      </c>
      <c r="K41" s="63">
        <v>37.24</v>
      </c>
      <c r="L41" s="63">
        <v>14.78</v>
      </c>
      <c r="M41" s="63">
        <v>30.75</v>
      </c>
      <c r="N41" s="63">
        <v>9.5399999999999991</v>
      </c>
      <c r="O41" s="63">
        <v>18.04</v>
      </c>
      <c r="P41" s="63">
        <v>25.19</v>
      </c>
    </row>
    <row r="42" spans="1:16" x14ac:dyDescent="0.3">
      <c r="A42" s="26" t="s">
        <v>1850</v>
      </c>
      <c r="B42" s="26" t="s">
        <v>1851</v>
      </c>
      <c r="C42" s="26" t="s">
        <v>1845</v>
      </c>
      <c r="D42" s="64">
        <v>17.48</v>
      </c>
      <c r="E42" s="64">
        <v>16.48</v>
      </c>
      <c r="F42" s="64">
        <v>18.52</v>
      </c>
      <c r="G42" s="64">
        <v>6.2</v>
      </c>
      <c r="H42" s="64">
        <v>19.98</v>
      </c>
      <c r="I42" s="64">
        <v>23.53</v>
      </c>
      <c r="J42" s="64">
        <v>16.75</v>
      </c>
      <c r="K42" s="64">
        <v>31.52</v>
      </c>
      <c r="L42" s="64">
        <v>8.1300000000000008</v>
      </c>
      <c r="M42" s="64">
        <v>22.71</v>
      </c>
      <c r="N42" s="64">
        <v>6.86</v>
      </c>
      <c r="O42" s="64">
        <v>14.92</v>
      </c>
      <c r="P42" s="64">
        <v>18.12</v>
      </c>
    </row>
    <row r="43" spans="1:16" x14ac:dyDescent="0.3">
      <c r="A43" s="25" t="s">
        <v>1852</v>
      </c>
      <c r="B43" s="25" t="s">
        <v>1853</v>
      </c>
      <c r="C43" s="25" t="s">
        <v>1845</v>
      </c>
      <c r="D43" s="63">
        <v>29.36</v>
      </c>
      <c r="E43" s="63">
        <v>30.88</v>
      </c>
      <c r="F43" s="63">
        <v>27.77</v>
      </c>
      <c r="G43" s="63">
        <v>27.72</v>
      </c>
      <c r="H43" s="63">
        <v>29.73</v>
      </c>
      <c r="I43" s="63">
        <v>29.58</v>
      </c>
      <c r="J43" s="63">
        <v>29.32</v>
      </c>
      <c r="K43" s="63">
        <v>27.86</v>
      </c>
      <c r="L43" s="63">
        <v>30.36</v>
      </c>
      <c r="M43" s="63">
        <v>28.13</v>
      </c>
      <c r="N43" s="63">
        <v>31.85</v>
      </c>
      <c r="O43" s="63">
        <v>31.23</v>
      </c>
      <c r="P43" s="63">
        <v>28.89</v>
      </c>
    </row>
    <row r="44" spans="1:16" x14ac:dyDescent="0.3">
      <c r="A44" s="26" t="s">
        <v>1854</v>
      </c>
      <c r="B44" s="26" t="s">
        <v>1855</v>
      </c>
      <c r="C44" s="26" t="s">
        <v>1856</v>
      </c>
      <c r="D44" s="64">
        <v>16.63</v>
      </c>
      <c r="E44" s="64">
        <v>17.7</v>
      </c>
      <c r="F44" s="64">
        <v>15.51</v>
      </c>
      <c r="G44" s="64">
        <v>28.27</v>
      </c>
      <c r="H44" s="64">
        <v>14.04</v>
      </c>
      <c r="I44" s="64">
        <v>34.43</v>
      </c>
      <c r="J44" s="64">
        <v>14.42</v>
      </c>
      <c r="K44" s="64">
        <v>26.96</v>
      </c>
      <c r="L44" s="64">
        <v>9.76</v>
      </c>
      <c r="M44" s="64">
        <v>18.54</v>
      </c>
      <c r="N44" s="64">
        <v>12.75</v>
      </c>
      <c r="O44" s="64">
        <v>32.69</v>
      </c>
      <c r="P44" s="64">
        <v>12.6</v>
      </c>
    </row>
    <row r="45" spans="1:16" x14ac:dyDescent="0.3">
      <c r="A45" s="25" t="s">
        <v>1739</v>
      </c>
      <c r="B45" s="25" t="s">
        <v>1740</v>
      </c>
      <c r="C45" s="25" t="s">
        <v>1856</v>
      </c>
      <c r="D45" s="63">
        <v>49.79</v>
      </c>
      <c r="E45" s="63">
        <v>51.86</v>
      </c>
      <c r="F45" s="63">
        <v>47.61</v>
      </c>
      <c r="G45" s="63">
        <v>41.14</v>
      </c>
      <c r="H45" s="63">
        <v>51.71</v>
      </c>
      <c r="I45" s="63">
        <v>38.93</v>
      </c>
      <c r="J45" s="63">
        <v>51.24</v>
      </c>
      <c r="K45" s="63">
        <v>40.85</v>
      </c>
      <c r="L45" s="63">
        <v>55.73</v>
      </c>
      <c r="M45" s="63">
        <v>47.79</v>
      </c>
      <c r="N45" s="63">
        <v>53.84</v>
      </c>
      <c r="O45" s="63">
        <v>36.659999999999997</v>
      </c>
      <c r="P45" s="63">
        <v>53.08</v>
      </c>
    </row>
    <row r="46" spans="1:16" x14ac:dyDescent="0.3">
      <c r="A46" s="26" t="s">
        <v>1857</v>
      </c>
      <c r="B46" s="26" t="s">
        <v>1858</v>
      </c>
      <c r="C46" s="26" t="s">
        <v>1856</v>
      </c>
      <c r="D46" s="64">
        <v>48.85</v>
      </c>
      <c r="E46" s="64">
        <v>46.6</v>
      </c>
      <c r="F46" s="64">
        <v>51.2</v>
      </c>
      <c r="G46" s="64">
        <v>45.1</v>
      </c>
      <c r="H46" s="64">
        <v>49.68</v>
      </c>
      <c r="I46" s="64">
        <v>28.09</v>
      </c>
      <c r="J46" s="64">
        <v>51.48</v>
      </c>
      <c r="K46" s="64">
        <v>39.56</v>
      </c>
      <c r="L46" s="64">
        <v>55.03</v>
      </c>
      <c r="M46" s="64">
        <v>49.55</v>
      </c>
      <c r="N46" s="64">
        <v>47.43</v>
      </c>
      <c r="O46" s="64">
        <v>37.869999999999997</v>
      </c>
      <c r="P46" s="64">
        <v>51.6</v>
      </c>
    </row>
    <row r="47" spans="1:16" x14ac:dyDescent="0.3">
      <c r="A47" s="25" t="s">
        <v>1859</v>
      </c>
      <c r="B47" s="25" t="s">
        <v>1860</v>
      </c>
      <c r="C47" s="25" t="s">
        <v>1856</v>
      </c>
      <c r="D47" s="63">
        <v>19.829999999999998</v>
      </c>
      <c r="E47" s="63">
        <v>19.82</v>
      </c>
      <c r="F47" s="63">
        <v>19.850000000000001</v>
      </c>
      <c r="G47" s="63">
        <v>22.59</v>
      </c>
      <c r="H47" s="63">
        <v>19.22</v>
      </c>
      <c r="I47" s="63">
        <v>35.53</v>
      </c>
      <c r="J47" s="63">
        <v>17.78</v>
      </c>
      <c r="K47" s="63">
        <v>27.21</v>
      </c>
      <c r="L47" s="63">
        <v>14.92</v>
      </c>
      <c r="M47" s="63">
        <v>20.32</v>
      </c>
      <c r="N47" s="63">
        <v>18.850000000000001</v>
      </c>
      <c r="O47" s="63">
        <v>24.7</v>
      </c>
      <c r="P47" s="63">
        <v>18.61</v>
      </c>
    </row>
    <row r="48" spans="1:16" x14ac:dyDescent="0.3">
      <c r="A48" s="26" t="s">
        <v>1861</v>
      </c>
      <c r="B48" s="26" t="s">
        <v>1862</v>
      </c>
      <c r="C48" s="26" t="s">
        <v>1856</v>
      </c>
      <c r="D48" s="64">
        <v>16.68</v>
      </c>
      <c r="E48" s="64">
        <v>19.2</v>
      </c>
      <c r="F48" s="64">
        <v>14.03</v>
      </c>
      <c r="G48" s="64">
        <v>2.35</v>
      </c>
      <c r="H48" s="64">
        <v>19.86</v>
      </c>
      <c r="I48" s="64">
        <v>24.49</v>
      </c>
      <c r="J48" s="64">
        <v>15.72</v>
      </c>
      <c r="K48" s="64">
        <v>20.170000000000002</v>
      </c>
      <c r="L48" s="64">
        <v>14.35</v>
      </c>
      <c r="M48" s="64">
        <v>15.49</v>
      </c>
      <c r="N48" s="64">
        <v>19.09</v>
      </c>
      <c r="O48" s="64">
        <v>14.57</v>
      </c>
      <c r="P48" s="64">
        <v>17.2</v>
      </c>
    </row>
    <row r="49" spans="1:16" x14ac:dyDescent="0.3">
      <c r="A49" s="25" t="s">
        <v>1863</v>
      </c>
      <c r="B49" s="25" t="s">
        <v>1864</v>
      </c>
      <c r="C49" s="25" t="s">
        <v>1865</v>
      </c>
      <c r="D49" s="63">
        <v>87.88</v>
      </c>
      <c r="E49" s="63">
        <v>87.17</v>
      </c>
      <c r="F49" s="63">
        <v>88.62</v>
      </c>
      <c r="G49" s="63">
        <v>99.85</v>
      </c>
      <c r="H49" s="63">
        <v>85.21</v>
      </c>
      <c r="I49" s="63">
        <v>63.8</v>
      </c>
      <c r="J49" s="63">
        <v>90.94</v>
      </c>
      <c r="K49" s="63">
        <v>74.77</v>
      </c>
      <c r="L49" s="63">
        <v>96.6</v>
      </c>
      <c r="M49" s="63">
        <v>86.71</v>
      </c>
      <c r="N49" s="63">
        <v>90.25</v>
      </c>
      <c r="O49" s="63">
        <v>78.19</v>
      </c>
      <c r="P49" s="63">
        <v>90.3</v>
      </c>
    </row>
    <row r="50" spans="1:16" x14ac:dyDescent="0.3">
      <c r="A50" s="26" t="s">
        <v>1866</v>
      </c>
      <c r="B50" s="26" t="s">
        <v>1867</v>
      </c>
      <c r="C50" s="26" t="s">
        <v>1865</v>
      </c>
      <c r="D50" s="64">
        <v>97.78</v>
      </c>
      <c r="E50" s="64">
        <v>98.35</v>
      </c>
      <c r="F50" s="64">
        <v>97.18</v>
      </c>
      <c r="G50" s="64">
        <v>97.14</v>
      </c>
      <c r="H50" s="64">
        <v>97.92</v>
      </c>
      <c r="I50" s="64">
        <v>89.83</v>
      </c>
      <c r="J50" s="64">
        <v>98.77</v>
      </c>
      <c r="K50" s="64">
        <v>95.4</v>
      </c>
      <c r="L50" s="64">
        <v>99.36</v>
      </c>
      <c r="M50" s="64">
        <v>97.29</v>
      </c>
      <c r="N50" s="64">
        <v>98.77</v>
      </c>
      <c r="O50" s="64">
        <v>93.65</v>
      </c>
      <c r="P50" s="64">
        <v>98.81</v>
      </c>
    </row>
    <row r="51" spans="1:16" x14ac:dyDescent="0.3">
      <c r="A51" s="25" t="s">
        <v>1746</v>
      </c>
      <c r="B51" s="25" t="s">
        <v>1747</v>
      </c>
      <c r="C51" s="25" t="s">
        <v>1865</v>
      </c>
      <c r="D51" s="63">
        <v>85.44</v>
      </c>
      <c r="E51" s="63">
        <v>85.06</v>
      </c>
      <c r="F51" s="63">
        <v>85.83</v>
      </c>
      <c r="G51" s="63">
        <v>96.99</v>
      </c>
      <c r="H51" s="63">
        <v>82.87</v>
      </c>
      <c r="I51" s="63">
        <v>55.74</v>
      </c>
      <c r="J51" s="63">
        <v>89.21</v>
      </c>
      <c r="K51" s="63">
        <v>71.98</v>
      </c>
      <c r="L51" s="63">
        <v>94.4</v>
      </c>
      <c r="M51" s="63">
        <v>83.67</v>
      </c>
      <c r="N51" s="63">
        <v>89.02</v>
      </c>
      <c r="O51" s="63">
        <v>73.22</v>
      </c>
      <c r="P51" s="63">
        <v>88.5</v>
      </c>
    </row>
    <row r="52" spans="1:16" x14ac:dyDescent="0.3">
      <c r="A52" s="26" t="s">
        <v>1744</v>
      </c>
      <c r="B52" s="26" t="s">
        <v>1745</v>
      </c>
      <c r="C52" s="26" t="s">
        <v>1865</v>
      </c>
      <c r="D52" s="64">
        <v>83.93</v>
      </c>
      <c r="E52" s="64">
        <v>83.32</v>
      </c>
      <c r="F52" s="64">
        <v>84.57</v>
      </c>
      <c r="G52" s="64">
        <v>96.74</v>
      </c>
      <c r="H52" s="64">
        <v>81.09</v>
      </c>
      <c r="I52" s="64">
        <v>52.81</v>
      </c>
      <c r="J52" s="64">
        <v>87.88</v>
      </c>
      <c r="K52" s="64">
        <v>69.459999999999994</v>
      </c>
      <c r="L52" s="64">
        <v>93.56</v>
      </c>
      <c r="M52" s="64">
        <v>82.03</v>
      </c>
      <c r="N52" s="64">
        <v>87.79</v>
      </c>
      <c r="O52" s="64">
        <v>73.61</v>
      </c>
      <c r="P52" s="64">
        <v>86.52</v>
      </c>
    </row>
    <row r="53" spans="1:16" x14ac:dyDescent="0.3">
      <c r="A53" s="25" t="s">
        <v>1868</v>
      </c>
      <c r="B53" s="25" t="s">
        <v>1869</v>
      </c>
      <c r="C53" s="25" t="s">
        <v>1865</v>
      </c>
      <c r="D53" s="63">
        <v>66.430000000000007</v>
      </c>
      <c r="E53" s="63">
        <v>65.900000000000006</v>
      </c>
      <c r="F53" s="63">
        <v>66.98</v>
      </c>
      <c r="G53" s="63">
        <v>84.62</v>
      </c>
      <c r="H53" s="63">
        <v>62.39</v>
      </c>
      <c r="I53" s="63">
        <v>32.840000000000003</v>
      </c>
      <c r="J53" s="63">
        <v>70.650000000000006</v>
      </c>
      <c r="K53" s="63">
        <v>50.65</v>
      </c>
      <c r="L53" s="63">
        <v>76.930000000000007</v>
      </c>
      <c r="M53" s="63">
        <v>63.86</v>
      </c>
      <c r="N53" s="63">
        <v>71.650000000000006</v>
      </c>
      <c r="O53" s="63">
        <v>50.1</v>
      </c>
      <c r="P53" s="63">
        <v>70.53</v>
      </c>
    </row>
    <row r="54" spans="1:16" x14ac:dyDescent="0.3">
      <c r="A54" s="26" t="s">
        <v>1870</v>
      </c>
      <c r="B54" s="26" t="s">
        <v>1871</v>
      </c>
      <c r="C54" s="26" t="s">
        <v>1865</v>
      </c>
      <c r="D54" s="64">
        <v>83.17</v>
      </c>
      <c r="E54" s="64">
        <v>82.96</v>
      </c>
      <c r="F54" s="64">
        <v>83.39</v>
      </c>
      <c r="G54" s="64">
        <v>97.73</v>
      </c>
      <c r="H54" s="64">
        <v>79.930000000000007</v>
      </c>
      <c r="I54" s="64">
        <v>49.45</v>
      </c>
      <c r="J54" s="64">
        <v>87.44</v>
      </c>
      <c r="K54" s="64">
        <v>67.2</v>
      </c>
      <c r="L54" s="64">
        <v>93.79</v>
      </c>
      <c r="M54" s="64">
        <v>81.59</v>
      </c>
      <c r="N54" s="64">
        <v>86.38</v>
      </c>
      <c r="O54" s="64">
        <v>68.849999999999994</v>
      </c>
      <c r="P54" s="64">
        <v>86.76</v>
      </c>
    </row>
    <row r="55" spans="1:16" x14ac:dyDescent="0.3">
      <c r="A55" s="25" t="s">
        <v>1872</v>
      </c>
      <c r="B55" s="25" t="s">
        <v>1873</v>
      </c>
      <c r="C55" s="25" t="s">
        <v>1865</v>
      </c>
      <c r="D55" s="63">
        <v>11.76</v>
      </c>
      <c r="E55" s="63">
        <v>12.2</v>
      </c>
      <c r="F55" s="63">
        <v>11.3</v>
      </c>
      <c r="G55" s="63">
        <v>17.61</v>
      </c>
      <c r="H55" s="63">
        <v>10.46</v>
      </c>
      <c r="I55" s="63">
        <v>2.98</v>
      </c>
      <c r="J55" s="63">
        <v>12.88</v>
      </c>
      <c r="K55" s="63">
        <v>6.4</v>
      </c>
      <c r="L55" s="63">
        <v>15.33</v>
      </c>
      <c r="M55" s="63">
        <v>8.84</v>
      </c>
      <c r="N55" s="63">
        <v>17.690000000000001</v>
      </c>
      <c r="O55" s="63">
        <v>7.79</v>
      </c>
      <c r="P55" s="63">
        <v>12.76</v>
      </c>
    </row>
  </sheetData>
  <autoFilter ref="A4:P55" xr:uid="{00000000-0009-0000-0000-00000C000000}"/>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55"/>
  <sheetViews>
    <sheetView showGridLines="0" workbookViewId="0">
      <pane xSplit="2" ySplit="4" topLeftCell="C5" activePane="bottomRight" state="frozen"/>
      <selection pane="topRight"/>
      <selection pane="bottomLeft"/>
      <selection pane="bottomRight"/>
    </sheetView>
  </sheetViews>
  <sheetFormatPr defaultRowHeight="14" x14ac:dyDescent="0.3"/>
  <cols>
    <col min="1" max="1" width="50" customWidth="1"/>
    <col min="2" max="2" width="16" customWidth="1"/>
    <col min="3" max="3" width="12" customWidth="1"/>
    <col min="4" max="5" width="17" customWidth="1"/>
    <col min="6" max="8" width="13" customWidth="1"/>
    <col min="9" max="9" width="14" customWidth="1"/>
  </cols>
  <sheetData>
    <row r="1" spans="1:9" ht="18" x14ac:dyDescent="0.4">
      <c r="A1" s="1" t="s">
        <v>1874</v>
      </c>
    </row>
    <row r="2" spans="1:9" x14ac:dyDescent="0.3">
      <c r="A2" s="8" t="s">
        <v>1875</v>
      </c>
    </row>
    <row r="4" spans="1:9" ht="46" customHeight="1" x14ac:dyDescent="0.3">
      <c r="A4" s="9" t="s">
        <v>1374</v>
      </c>
      <c r="B4" s="9" t="s">
        <v>1481</v>
      </c>
      <c r="C4" s="10" t="s">
        <v>1765</v>
      </c>
      <c r="D4" s="10" t="s">
        <v>1876</v>
      </c>
      <c r="E4" s="10" t="s">
        <v>1877</v>
      </c>
      <c r="F4" s="10" t="s">
        <v>1878</v>
      </c>
      <c r="G4" s="10" t="s">
        <v>1879</v>
      </c>
      <c r="H4" s="10" t="s">
        <v>1880</v>
      </c>
      <c r="I4" s="10" t="s">
        <v>1881</v>
      </c>
    </row>
    <row r="5" spans="1:9" x14ac:dyDescent="0.3">
      <c r="A5" s="25" t="s">
        <v>1789</v>
      </c>
      <c r="B5" s="25" t="s">
        <v>1790</v>
      </c>
      <c r="C5" s="14">
        <f>'Segments 2024'!D5</f>
        <v>70.55</v>
      </c>
      <c r="D5" s="14">
        <f>'Segments 2024'!L5-'Segments 2024'!K5</f>
        <v>37.379999999999995</v>
      </c>
      <c r="E5" s="14">
        <f>'Segments 2024'!J5-'Segments 2024'!I5</f>
        <v>41.74</v>
      </c>
      <c r="F5" s="14">
        <f>'Segments 2024'!N5-'Segments 2024'!M5</f>
        <v>9.64</v>
      </c>
      <c r="G5" s="14">
        <f>'Segments 2024'!F5-'Segments 2024'!E5</f>
        <v>1.3700000000000045</v>
      </c>
      <c r="H5" s="14">
        <f>'Segments 2024'!G5-'Segments 2024'!H5</f>
        <v>1.9699999999999989</v>
      </c>
      <c r="I5" s="14">
        <f>'Segments 2024'!P5-'Segments 2024'!O5</f>
        <v>36.58</v>
      </c>
    </row>
    <row r="6" spans="1:9" x14ac:dyDescent="0.3">
      <c r="A6" s="26" t="s">
        <v>1792</v>
      </c>
      <c r="B6" s="26" t="s">
        <v>1790</v>
      </c>
      <c r="C6" s="19">
        <f>'Segments 2024'!D6</f>
        <v>69.849999999999994</v>
      </c>
      <c r="D6" s="19">
        <f>'Segments 2024'!L6-'Segments 2024'!K6</f>
        <v>36.97</v>
      </c>
      <c r="E6" s="19">
        <f>'Segments 2024'!J6-'Segments 2024'!I6</f>
        <v>41.330000000000005</v>
      </c>
      <c r="F6" s="19">
        <f>'Segments 2024'!N6-'Segments 2024'!M6</f>
        <v>10.290000000000006</v>
      </c>
      <c r="G6" s="19">
        <f>'Segments 2024'!F6-'Segments 2024'!E6</f>
        <v>0.89000000000000057</v>
      </c>
      <c r="H6" s="19">
        <f>'Segments 2024'!G6-'Segments 2024'!H6</f>
        <v>0.89000000000000057</v>
      </c>
      <c r="I6" s="19">
        <f>'Segments 2024'!P6-'Segments 2024'!O6</f>
        <v>36.43</v>
      </c>
    </row>
    <row r="7" spans="1:9" x14ac:dyDescent="0.3">
      <c r="A7" s="25" t="s">
        <v>1794</v>
      </c>
      <c r="B7" s="25" t="s">
        <v>1790</v>
      </c>
      <c r="C7" s="14">
        <f>'Segments 2024'!D7</f>
        <v>38.72</v>
      </c>
      <c r="D7" s="14">
        <f>'Segments 2024'!L7-'Segments 2024'!K7</f>
        <v>27.32</v>
      </c>
      <c r="E7" s="14">
        <f>'Segments 2024'!J7-'Segments 2024'!I7</f>
        <v>30.69</v>
      </c>
      <c r="F7" s="14">
        <f>'Segments 2024'!N7-'Segments 2024'!M7</f>
        <v>7.6700000000000017</v>
      </c>
      <c r="G7" s="14">
        <f>'Segments 2024'!F7-'Segments 2024'!E7</f>
        <v>3.4899999999999949</v>
      </c>
      <c r="H7" s="14">
        <f>'Segments 2024'!G7-'Segments 2024'!H7</f>
        <v>15.649999999999999</v>
      </c>
      <c r="I7" s="14">
        <f>'Segments 2024'!P7-'Segments 2024'!O7</f>
        <v>25.669999999999998</v>
      </c>
    </row>
    <row r="8" spans="1:9" x14ac:dyDescent="0.3">
      <c r="A8" s="26" t="s">
        <v>1743</v>
      </c>
      <c r="B8" s="26" t="s">
        <v>1790</v>
      </c>
      <c r="C8" s="19">
        <f>'Segments 2024'!D8</f>
        <v>62.74</v>
      </c>
      <c r="D8" s="19">
        <f>'Segments 2024'!L8-'Segments 2024'!K8</f>
        <v>41.91</v>
      </c>
      <c r="E8" s="19">
        <f>'Segments 2024'!J8-'Segments 2024'!I8</f>
        <v>48.39</v>
      </c>
      <c r="F8" s="19">
        <f>'Segments 2024'!N8-'Segments 2024'!M8</f>
        <v>10.430000000000007</v>
      </c>
      <c r="G8" s="19">
        <f>'Segments 2024'!F8-'Segments 2024'!E8</f>
        <v>0.71999999999999886</v>
      </c>
      <c r="H8" s="19">
        <f>'Segments 2024'!G8-'Segments 2024'!H8</f>
        <v>10.170000000000002</v>
      </c>
      <c r="I8" s="19">
        <f>'Segments 2024'!P8-'Segments 2024'!O8</f>
        <v>39.300000000000004</v>
      </c>
    </row>
    <row r="9" spans="1:9" x14ac:dyDescent="0.3">
      <c r="A9" s="25" t="s">
        <v>1796</v>
      </c>
      <c r="B9" s="25" t="s">
        <v>1790</v>
      </c>
      <c r="C9" s="14">
        <f>'Segments 2024'!D9</f>
        <v>64.819999999999993</v>
      </c>
      <c r="D9" s="14">
        <f>'Segments 2024'!L9-'Segments 2024'!K9</f>
        <v>37.71</v>
      </c>
      <c r="E9" s="14">
        <f>'Segments 2024'!J9-'Segments 2024'!I9</f>
        <v>43.250000000000007</v>
      </c>
      <c r="F9" s="14">
        <f>'Segments 2024'!N9-'Segments 2024'!M9</f>
        <v>13.21</v>
      </c>
      <c r="G9" s="14">
        <f>'Segments 2024'!F9-'Segments 2024'!E9</f>
        <v>2.3900000000000077</v>
      </c>
      <c r="H9" s="14">
        <f>'Segments 2024'!G9-'Segments 2024'!H9</f>
        <v>-0.16999999999998749</v>
      </c>
      <c r="I9" s="14">
        <f>'Segments 2024'!P9-'Segments 2024'!O9</f>
        <v>41.129999999999995</v>
      </c>
    </row>
    <row r="10" spans="1:9" x14ac:dyDescent="0.3">
      <c r="A10" s="26" t="s">
        <v>1798</v>
      </c>
      <c r="B10" s="26" t="s">
        <v>1790</v>
      </c>
      <c r="C10" s="19">
        <f>'Segments 2024'!D10</f>
        <v>43.49</v>
      </c>
      <c r="D10" s="19">
        <f>'Segments 2024'!L10-'Segments 2024'!K10</f>
        <v>28.27</v>
      </c>
      <c r="E10" s="19">
        <f>'Segments 2024'!J10-'Segments 2024'!I10</f>
        <v>27.29</v>
      </c>
      <c r="F10" s="19">
        <f>'Segments 2024'!N10-'Segments 2024'!M10</f>
        <v>12.599999999999994</v>
      </c>
      <c r="G10" s="19">
        <f>'Segments 2024'!F10-'Segments 2024'!E10</f>
        <v>2.9099999999999966</v>
      </c>
      <c r="H10" s="19">
        <f>'Segments 2024'!G10-'Segments 2024'!H10</f>
        <v>-8.240000000000002</v>
      </c>
      <c r="I10" s="19">
        <f>'Segments 2024'!P10-'Segments 2024'!O10</f>
        <v>34.340000000000003</v>
      </c>
    </row>
    <row r="11" spans="1:9" x14ac:dyDescent="0.3">
      <c r="A11" s="25" t="s">
        <v>1800</v>
      </c>
      <c r="B11" s="25" t="s">
        <v>1790</v>
      </c>
      <c r="C11" s="14">
        <f>'Segments 2024'!D11</f>
        <v>16.510000000000002</v>
      </c>
      <c r="D11" s="14">
        <f>'Segments 2024'!L11-'Segments 2024'!K11</f>
        <v>-16.04</v>
      </c>
      <c r="E11" s="14">
        <f>'Segments 2024'!J11-'Segments 2024'!I11</f>
        <v>-12.940000000000001</v>
      </c>
      <c r="F11" s="14">
        <f>'Segments 2024'!N11-'Segments 2024'!M11</f>
        <v>-4.120000000000001</v>
      </c>
      <c r="G11" s="14">
        <f>'Segments 2024'!F11-'Segments 2024'!E11</f>
        <v>-4.7300000000000004</v>
      </c>
      <c r="H11" s="14">
        <f>'Segments 2024'!G11-'Segments 2024'!H11</f>
        <v>4.32</v>
      </c>
      <c r="I11" s="14">
        <f>'Segments 2024'!P11-'Segments 2024'!O11</f>
        <v>-21.330000000000002</v>
      </c>
    </row>
    <row r="12" spans="1:9" x14ac:dyDescent="0.3">
      <c r="A12" s="26" t="s">
        <v>1802</v>
      </c>
      <c r="B12" s="26" t="s">
        <v>1790</v>
      </c>
      <c r="C12" s="19">
        <f>'Segments 2024'!D12</f>
        <v>21.13</v>
      </c>
      <c r="D12" s="19">
        <f>'Segments 2024'!L12-'Segments 2024'!K12</f>
        <v>-26.73</v>
      </c>
      <c r="E12" s="19">
        <f>'Segments 2024'!J12-'Segments 2024'!I12</f>
        <v>-36.709999999999994</v>
      </c>
      <c r="F12" s="19">
        <f>'Segments 2024'!N12-'Segments 2024'!M12</f>
        <v>-2.09</v>
      </c>
      <c r="G12" s="19">
        <f>'Segments 2024'!F12-'Segments 2024'!E12</f>
        <v>-2.0500000000000007</v>
      </c>
      <c r="H12" s="19">
        <f>'Segments 2024'!G12-'Segments 2024'!H12</f>
        <v>-12.52</v>
      </c>
      <c r="I12" s="19">
        <f>'Segments 2024'!P12-'Segments 2024'!O12</f>
        <v>-20.07</v>
      </c>
    </row>
    <row r="13" spans="1:9" x14ac:dyDescent="0.3">
      <c r="A13" s="25" t="s">
        <v>1804</v>
      </c>
      <c r="B13" s="25" t="s">
        <v>1805</v>
      </c>
      <c r="C13" s="14">
        <f>'Segments 2024'!D13</f>
        <v>62.38</v>
      </c>
      <c r="D13" s="14">
        <f>'Segments 2024'!L13-'Segments 2024'!K13</f>
        <v>39.61999999999999</v>
      </c>
      <c r="E13" s="14">
        <f>'Segments 2024'!J13-'Segments 2024'!I13</f>
        <v>40.42</v>
      </c>
      <c r="F13" s="14">
        <f>'Segments 2024'!N13-'Segments 2024'!M13</f>
        <v>8.6699999999999946</v>
      </c>
      <c r="G13" s="14">
        <f>'Segments 2024'!F13-'Segments 2024'!E13</f>
        <v>2</v>
      </c>
      <c r="H13" s="14">
        <f>'Segments 2024'!G13-'Segments 2024'!H13</f>
        <v>5.1500000000000057</v>
      </c>
      <c r="I13" s="14">
        <f>'Segments 2024'!P13-'Segments 2024'!O13</f>
        <v>39.33</v>
      </c>
    </row>
    <row r="14" spans="1:9" x14ac:dyDescent="0.3">
      <c r="A14" s="26" t="s">
        <v>1807</v>
      </c>
      <c r="B14" s="26" t="s">
        <v>1805</v>
      </c>
      <c r="C14" s="19">
        <f>'Segments 2024'!D14</f>
        <v>56.47</v>
      </c>
      <c r="D14" s="19">
        <f>'Segments 2024'!L14-'Segments 2024'!K14</f>
        <v>42.210000000000008</v>
      </c>
      <c r="E14" s="19">
        <f>'Segments 2024'!J14-'Segments 2024'!I14</f>
        <v>44.89</v>
      </c>
      <c r="F14" s="19">
        <f>'Segments 2024'!N14-'Segments 2024'!M14</f>
        <v>7</v>
      </c>
      <c r="G14" s="19">
        <f>'Segments 2024'!F14-'Segments 2024'!E14</f>
        <v>-0.12000000000000455</v>
      </c>
      <c r="H14" s="19">
        <f>'Segments 2024'!G14-'Segments 2024'!H14</f>
        <v>8.2000000000000028</v>
      </c>
      <c r="I14" s="19">
        <f>'Segments 2024'!P14-'Segments 2024'!O14</f>
        <v>39.31</v>
      </c>
    </row>
    <row r="15" spans="1:9" x14ac:dyDescent="0.3">
      <c r="A15" s="25" t="s">
        <v>1809</v>
      </c>
      <c r="B15" s="25" t="s">
        <v>1805</v>
      </c>
      <c r="C15" s="14">
        <f>'Segments 2024'!D15</f>
        <v>48.05</v>
      </c>
      <c r="D15" s="14">
        <f>'Segments 2024'!L15-'Segments 2024'!K15</f>
        <v>34.83</v>
      </c>
      <c r="E15" s="14">
        <f>'Segments 2024'!J15-'Segments 2024'!I15</f>
        <v>34.629999999999995</v>
      </c>
      <c r="F15" s="14">
        <f>'Segments 2024'!N15-'Segments 2024'!M15</f>
        <v>10.190000000000005</v>
      </c>
      <c r="G15" s="14">
        <f>'Segments 2024'!F15-'Segments 2024'!E15</f>
        <v>3.6000000000000014</v>
      </c>
      <c r="H15" s="14">
        <f>'Segments 2024'!G15-'Segments 2024'!H15</f>
        <v>-1.1499999999999986</v>
      </c>
      <c r="I15" s="14">
        <f>'Segments 2024'!P15-'Segments 2024'!O15</f>
        <v>38.540000000000006</v>
      </c>
    </row>
    <row r="16" spans="1:9" x14ac:dyDescent="0.3">
      <c r="A16" s="26" t="s">
        <v>1811</v>
      </c>
      <c r="B16" s="26" t="s">
        <v>1805</v>
      </c>
      <c r="C16" s="19">
        <f>'Segments 2024'!D16</f>
        <v>60.68</v>
      </c>
      <c r="D16" s="19">
        <f>'Segments 2024'!L16-'Segments 2024'!K16</f>
        <v>40.98</v>
      </c>
      <c r="E16" s="19">
        <f>'Segments 2024'!J16-'Segments 2024'!I16</f>
        <v>48.33</v>
      </c>
      <c r="F16" s="19">
        <f>'Segments 2024'!N16-'Segments 2024'!M16</f>
        <v>10.919999999999995</v>
      </c>
      <c r="G16" s="19">
        <f>'Segments 2024'!F16-'Segments 2024'!E16</f>
        <v>0.49000000000000199</v>
      </c>
      <c r="H16" s="19">
        <f>'Segments 2024'!G16-'Segments 2024'!H16</f>
        <v>7.6899999999999977</v>
      </c>
      <c r="I16" s="19">
        <f>'Segments 2024'!P16-'Segments 2024'!O16</f>
        <v>39.890000000000008</v>
      </c>
    </row>
    <row r="17" spans="1:9" x14ac:dyDescent="0.3">
      <c r="A17" s="25" t="s">
        <v>1813</v>
      </c>
      <c r="B17" s="25" t="s">
        <v>1805</v>
      </c>
      <c r="C17" s="14">
        <f>'Segments 2024'!D17</f>
        <v>51.13</v>
      </c>
      <c r="D17" s="14">
        <f>'Segments 2024'!L17-'Segments 2024'!K17</f>
        <v>41.05</v>
      </c>
      <c r="E17" s="14">
        <f>'Segments 2024'!J17-'Segments 2024'!I17</f>
        <v>48.5</v>
      </c>
      <c r="F17" s="14">
        <f>'Segments 2024'!N17-'Segments 2024'!M17</f>
        <v>10.410000000000004</v>
      </c>
      <c r="G17" s="14">
        <f>'Segments 2024'!F17-'Segments 2024'!E17</f>
        <v>-3.2100000000000009</v>
      </c>
      <c r="H17" s="14">
        <f>'Segments 2024'!G17-'Segments 2024'!H17</f>
        <v>11.769999999999996</v>
      </c>
      <c r="I17" s="14">
        <f>'Segments 2024'!P17-'Segments 2024'!O17</f>
        <v>36.269999999999996</v>
      </c>
    </row>
    <row r="18" spans="1:9" x14ac:dyDescent="0.3">
      <c r="A18" s="26" t="s">
        <v>1815</v>
      </c>
      <c r="B18" s="26" t="s">
        <v>1805</v>
      </c>
      <c r="C18" s="19">
        <f>'Segments 2024'!D18</f>
        <v>48.26</v>
      </c>
      <c r="D18" s="19">
        <f>'Segments 2024'!L18-'Segments 2024'!K18</f>
        <v>41.02000000000001</v>
      </c>
      <c r="E18" s="19">
        <f>'Segments 2024'!J18-'Segments 2024'!I18</f>
        <v>46.04</v>
      </c>
      <c r="F18" s="19">
        <f>'Segments 2024'!N18-'Segments 2024'!M18</f>
        <v>11.649999999999999</v>
      </c>
      <c r="G18" s="19">
        <f>'Segments 2024'!F18-'Segments 2024'!E18</f>
        <v>-2.5</v>
      </c>
      <c r="H18" s="19">
        <f>'Segments 2024'!G18-'Segments 2024'!H18</f>
        <v>10.64</v>
      </c>
      <c r="I18" s="19">
        <f>'Segments 2024'!P18-'Segments 2024'!O18</f>
        <v>33.57</v>
      </c>
    </row>
    <row r="19" spans="1:9" x14ac:dyDescent="0.3">
      <c r="A19" s="25" t="s">
        <v>1749</v>
      </c>
      <c r="B19" s="25" t="s">
        <v>1805</v>
      </c>
      <c r="C19" s="14">
        <f>'Segments 2024'!D19</f>
        <v>25.66</v>
      </c>
      <c r="D19" s="14">
        <f>'Segments 2024'!L19-'Segments 2024'!K19</f>
        <v>26.449999999999996</v>
      </c>
      <c r="E19" s="14">
        <f>'Segments 2024'!J19-'Segments 2024'!I19</f>
        <v>26.709999999999997</v>
      </c>
      <c r="F19" s="14">
        <f>'Segments 2024'!N19-'Segments 2024'!M19</f>
        <v>15.399999999999999</v>
      </c>
      <c r="G19" s="14">
        <f>'Segments 2024'!F19-'Segments 2024'!E19</f>
        <v>-4.91</v>
      </c>
      <c r="H19" s="14">
        <f>'Segments 2024'!G19-'Segments 2024'!H19</f>
        <v>4</v>
      </c>
      <c r="I19" s="14">
        <f>'Segments 2024'!P19-'Segments 2024'!O19</f>
        <v>20.03</v>
      </c>
    </row>
    <row r="20" spans="1:9" x14ac:dyDescent="0.3">
      <c r="A20" s="26" t="s">
        <v>1817</v>
      </c>
      <c r="B20" s="26" t="s">
        <v>1805</v>
      </c>
      <c r="C20" s="19">
        <f>'Segments 2024'!D20</f>
        <v>45.5</v>
      </c>
      <c r="D20" s="19">
        <f>'Segments 2024'!L20-'Segments 2024'!K20</f>
        <v>36.61</v>
      </c>
      <c r="E20" s="19">
        <f>'Segments 2024'!J20-'Segments 2024'!I20</f>
        <v>39.4</v>
      </c>
      <c r="F20" s="19">
        <f>'Segments 2024'!N20-'Segments 2024'!M20</f>
        <v>9.6200000000000045</v>
      </c>
      <c r="G20" s="19">
        <f>'Segments 2024'!F20-'Segments 2024'!E20</f>
        <v>-2.8400000000000034</v>
      </c>
      <c r="H20" s="19">
        <f>'Segments 2024'!G20-'Segments 2024'!H20</f>
        <v>-5.8000000000000043</v>
      </c>
      <c r="I20" s="19">
        <f>'Segments 2024'!P20-'Segments 2024'!O20</f>
        <v>36.729999999999997</v>
      </c>
    </row>
    <row r="21" spans="1:9" x14ac:dyDescent="0.3">
      <c r="A21" s="25" t="s">
        <v>1819</v>
      </c>
      <c r="B21" s="25" t="s">
        <v>1805</v>
      </c>
      <c r="C21" s="14">
        <f>'Segments 2024'!D21</f>
        <v>46.24</v>
      </c>
      <c r="D21" s="14">
        <f>'Segments 2024'!L21-'Segments 2024'!K21</f>
        <v>35.86</v>
      </c>
      <c r="E21" s="14">
        <f>'Segments 2024'!J21-'Segments 2024'!I21</f>
        <v>42.25</v>
      </c>
      <c r="F21" s="14">
        <f>'Segments 2024'!N21-'Segments 2024'!M21</f>
        <v>12.299999999999997</v>
      </c>
      <c r="G21" s="14">
        <f>'Segments 2024'!F21-'Segments 2024'!E21</f>
        <v>-9.9400000000000048</v>
      </c>
      <c r="H21" s="14">
        <f>'Segments 2024'!G21-'Segments 2024'!H21</f>
        <v>19.130000000000003</v>
      </c>
      <c r="I21" s="14">
        <f>'Segments 2024'!P21-'Segments 2024'!O21</f>
        <v>28.130000000000003</v>
      </c>
    </row>
    <row r="22" spans="1:9" x14ac:dyDescent="0.3">
      <c r="A22" s="26" t="s">
        <v>1821</v>
      </c>
      <c r="B22" s="26" t="s">
        <v>1805</v>
      </c>
      <c r="C22" s="19">
        <f>'Segments 2024'!D22</f>
        <v>34.19</v>
      </c>
      <c r="D22" s="19">
        <f>'Segments 2024'!L22-'Segments 2024'!K22</f>
        <v>33.1</v>
      </c>
      <c r="E22" s="19">
        <f>'Segments 2024'!J22-'Segments 2024'!I22</f>
        <v>35.46</v>
      </c>
      <c r="F22" s="19">
        <f>'Segments 2024'!N22-'Segments 2024'!M22</f>
        <v>10.389999999999997</v>
      </c>
      <c r="G22" s="19">
        <f>'Segments 2024'!F22-'Segments 2024'!E22</f>
        <v>-10.5</v>
      </c>
      <c r="H22" s="19">
        <f>'Segments 2024'!G22-'Segments 2024'!H22</f>
        <v>10.949999999999996</v>
      </c>
      <c r="I22" s="19">
        <f>'Segments 2024'!P22-'Segments 2024'!O22</f>
        <v>22.97</v>
      </c>
    </row>
    <row r="23" spans="1:9" x14ac:dyDescent="0.3">
      <c r="A23" s="25" t="s">
        <v>1823</v>
      </c>
      <c r="B23" s="25" t="s">
        <v>1805</v>
      </c>
      <c r="C23" s="14">
        <f>'Segments 2024'!D23</f>
        <v>12.05</v>
      </c>
      <c r="D23" s="14">
        <f>'Segments 2024'!L23-'Segments 2024'!K23</f>
        <v>2.76</v>
      </c>
      <c r="E23" s="14">
        <f>'Segments 2024'!J23-'Segments 2024'!I23</f>
        <v>6.78</v>
      </c>
      <c r="F23" s="14">
        <f>'Segments 2024'!N23-'Segments 2024'!M23</f>
        <v>1.9100000000000001</v>
      </c>
      <c r="G23" s="14">
        <f>'Segments 2024'!F23-'Segments 2024'!E23</f>
        <v>0.57000000000000028</v>
      </c>
      <c r="H23" s="14">
        <f>'Segments 2024'!G23-'Segments 2024'!H23</f>
        <v>8.1799999999999979</v>
      </c>
      <c r="I23" s="14">
        <f>'Segments 2024'!P23-'Segments 2024'!O23</f>
        <v>5.15</v>
      </c>
    </row>
    <row r="24" spans="1:9" x14ac:dyDescent="0.3">
      <c r="A24" s="26" t="s">
        <v>1825</v>
      </c>
      <c r="B24" s="26" t="s">
        <v>1805</v>
      </c>
      <c r="C24" s="19">
        <f>'Segments 2024'!D24</f>
        <v>58.06</v>
      </c>
      <c r="D24" s="19">
        <f>'Segments 2024'!L24-'Segments 2024'!K24</f>
        <v>8.0799999999999983</v>
      </c>
      <c r="E24" s="19">
        <f>'Segments 2024'!J24-'Segments 2024'!I24</f>
        <v>7.2800000000000011</v>
      </c>
      <c r="F24" s="19">
        <f>'Segments 2024'!N24-'Segments 2024'!M24</f>
        <v>1.9299999999999997</v>
      </c>
      <c r="G24" s="19">
        <f>'Segments 2024'!F24-'Segments 2024'!E24</f>
        <v>-22.430000000000007</v>
      </c>
      <c r="H24" s="19">
        <f>'Segments 2024'!G24-'Segments 2024'!H24</f>
        <v>-43.959999999999994</v>
      </c>
      <c r="I24" s="19">
        <f>'Segments 2024'!P24-'Segments 2024'!O24</f>
        <v>29.32</v>
      </c>
    </row>
    <row r="25" spans="1:9" x14ac:dyDescent="0.3">
      <c r="A25" s="25" t="s">
        <v>1827</v>
      </c>
      <c r="B25" s="25" t="s">
        <v>1805</v>
      </c>
      <c r="C25" s="14">
        <f>'Segments 2024'!D25</f>
        <v>32.700000000000003</v>
      </c>
      <c r="D25" s="14">
        <f>'Segments 2024'!L25-'Segments 2024'!K25</f>
        <v>27.75</v>
      </c>
      <c r="E25" s="14">
        <f>'Segments 2024'!J25-'Segments 2024'!I25</f>
        <v>28.459999999999997</v>
      </c>
      <c r="F25" s="14">
        <f>'Segments 2024'!N25-'Segments 2024'!M25</f>
        <v>7.8000000000000007</v>
      </c>
      <c r="G25" s="14">
        <f>'Segments 2024'!F25-'Segments 2024'!E25</f>
        <v>-13.369999999999997</v>
      </c>
      <c r="H25" s="14">
        <f>'Segments 2024'!G25-'Segments 2024'!H25</f>
        <v>-20.57</v>
      </c>
      <c r="I25" s="14">
        <f>'Segments 2024'!P25-'Segments 2024'!O25</f>
        <v>27.86</v>
      </c>
    </row>
    <row r="26" spans="1:9" x14ac:dyDescent="0.3">
      <c r="A26" s="26" t="s">
        <v>1829</v>
      </c>
      <c r="B26" s="26" t="s">
        <v>1805</v>
      </c>
      <c r="C26" s="19">
        <f>'Segments 2024'!D26</f>
        <v>25.06</v>
      </c>
      <c r="D26" s="19">
        <f>'Segments 2024'!L26-'Segments 2024'!K26</f>
        <v>-20.05</v>
      </c>
      <c r="E26" s="19">
        <f>'Segments 2024'!J26-'Segments 2024'!I26</f>
        <v>-19.599999999999998</v>
      </c>
      <c r="F26" s="19">
        <f>'Segments 2024'!N26-'Segments 2024'!M26</f>
        <v>-6.41</v>
      </c>
      <c r="G26" s="19">
        <f>'Segments 2024'!F26-'Segments 2024'!E26</f>
        <v>-9.1699999999999982</v>
      </c>
      <c r="H26" s="19">
        <f>'Segments 2024'!G26-'Segments 2024'!H26</f>
        <v>-23.200000000000003</v>
      </c>
      <c r="I26" s="19">
        <f>'Segments 2024'!P26-'Segments 2024'!O26</f>
        <v>1.4400000000000013</v>
      </c>
    </row>
    <row r="27" spans="1:9" x14ac:dyDescent="0.3">
      <c r="A27" s="25" t="s">
        <v>1751</v>
      </c>
      <c r="B27" s="25" t="s">
        <v>1805</v>
      </c>
      <c r="C27" s="14">
        <f>'Segments 2024'!D27</f>
        <v>61.57</v>
      </c>
      <c r="D27" s="14">
        <f>'Segments 2024'!L27-'Segments 2024'!K27</f>
        <v>42.460000000000008</v>
      </c>
      <c r="E27" s="14">
        <f>'Segments 2024'!J27-'Segments 2024'!I27</f>
        <v>48.440000000000005</v>
      </c>
      <c r="F27" s="14">
        <f>'Segments 2024'!N27-'Segments 2024'!M27</f>
        <v>11.36</v>
      </c>
      <c r="G27" s="14">
        <f>'Segments 2024'!F27-'Segments 2024'!E27</f>
        <v>2.3200000000000003</v>
      </c>
      <c r="H27" s="14">
        <f>'Segments 2024'!G27-'Segments 2024'!H27</f>
        <v>6.0799999999999983</v>
      </c>
      <c r="I27" s="14">
        <f>'Segments 2024'!P27-'Segments 2024'!O27</f>
        <v>42.64</v>
      </c>
    </row>
    <row r="28" spans="1:9" x14ac:dyDescent="0.3">
      <c r="A28" s="26" t="s">
        <v>1831</v>
      </c>
      <c r="B28" s="26" t="s">
        <v>1832</v>
      </c>
      <c r="C28" s="19">
        <f>'Segments 2024'!D28</f>
        <v>68.569999999999993</v>
      </c>
      <c r="D28" s="19">
        <f>'Segments 2024'!L28-'Segments 2024'!K28</f>
        <v>18.499999999999993</v>
      </c>
      <c r="E28" s="19">
        <f>'Segments 2024'!J28-'Segments 2024'!I28</f>
        <v>24.369999999999997</v>
      </c>
      <c r="F28" s="19">
        <f>'Segments 2024'!N28-'Segments 2024'!M28</f>
        <v>3.2700000000000102</v>
      </c>
      <c r="G28" s="19">
        <f>'Segments 2024'!F28-'Segments 2024'!E28</f>
        <v>-4.3599999999999994</v>
      </c>
      <c r="H28" s="19">
        <f>'Segments 2024'!G28-'Segments 2024'!H28</f>
        <v>-15.240000000000002</v>
      </c>
      <c r="I28" s="19">
        <f>'Segments 2024'!P28-'Segments 2024'!O28</f>
        <v>25.810000000000002</v>
      </c>
    </row>
    <row r="29" spans="1:9" x14ac:dyDescent="0.3">
      <c r="A29" s="25" t="s">
        <v>1730</v>
      </c>
      <c r="B29" s="25" t="s">
        <v>1832</v>
      </c>
      <c r="C29" s="14">
        <f>'Segments 2024'!D29</f>
        <v>43.09</v>
      </c>
      <c r="D29" s="14">
        <f>'Segments 2024'!L29-'Segments 2024'!K29</f>
        <v>26.709999999999997</v>
      </c>
      <c r="E29" s="14">
        <f>'Segments 2024'!J29-'Segments 2024'!I29</f>
        <v>32.74</v>
      </c>
      <c r="F29" s="14">
        <f>'Segments 2024'!N29-'Segments 2024'!M29</f>
        <v>7.9399999999999977</v>
      </c>
      <c r="G29" s="14">
        <f>'Segments 2024'!F29-'Segments 2024'!E29</f>
        <v>-4.0600000000000023</v>
      </c>
      <c r="H29" s="14">
        <f>'Segments 2024'!G29-'Segments 2024'!H29</f>
        <v>-5.5100000000000051</v>
      </c>
      <c r="I29" s="14">
        <f>'Segments 2024'!P29-'Segments 2024'!O29</f>
        <v>26.44</v>
      </c>
    </row>
    <row r="30" spans="1:9" x14ac:dyDescent="0.3">
      <c r="A30" s="26" t="s">
        <v>1834</v>
      </c>
      <c r="B30" s="26" t="s">
        <v>1832</v>
      </c>
      <c r="C30" s="19">
        <f>'Segments 2024'!D30</f>
        <v>10.06</v>
      </c>
      <c r="D30" s="19">
        <f>'Segments 2024'!L30-'Segments 2024'!K30</f>
        <v>5.26</v>
      </c>
      <c r="E30" s="19">
        <f>'Segments 2024'!J30-'Segments 2024'!I30</f>
        <v>9.69</v>
      </c>
      <c r="F30" s="19">
        <f>'Segments 2024'!N30-'Segments 2024'!M30</f>
        <v>3.2999999999999989</v>
      </c>
      <c r="G30" s="19">
        <f>'Segments 2024'!F30-'Segments 2024'!E30</f>
        <v>1.4400000000000013</v>
      </c>
      <c r="H30" s="19">
        <f>'Segments 2024'!G30-'Segments 2024'!H30</f>
        <v>6.73</v>
      </c>
      <c r="I30" s="19">
        <f>'Segments 2024'!P30-'Segments 2024'!O30</f>
        <v>3.84</v>
      </c>
    </row>
    <row r="31" spans="1:9" x14ac:dyDescent="0.3">
      <c r="A31" s="25" t="s">
        <v>1738</v>
      </c>
      <c r="B31" s="25" t="s">
        <v>1832</v>
      </c>
      <c r="C31" s="14">
        <f>'Segments 2024'!D31</f>
        <v>20.16</v>
      </c>
      <c r="D31" s="14">
        <f>'Segments 2024'!L31-'Segments 2024'!K31</f>
        <v>15.890000000000002</v>
      </c>
      <c r="E31" s="14">
        <f>'Segments 2024'!J31-'Segments 2024'!I31</f>
        <v>13.839999999999998</v>
      </c>
      <c r="F31" s="14">
        <f>'Segments 2024'!N31-'Segments 2024'!M31</f>
        <v>6.5599999999999987</v>
      </c>
      <c r="G31" s="14">
        <f>'Segments 2024'!F31-'Segments 2024'!E31</f>
        <v>-6.5600000000000023</v>
      </c>
      <c r="H31" s="14">
        <f>'Segments 2024'!G31-'Segments 2024'!H31</f>
        <v>-14.569999999999999</v>
      </c>
      <c r="I31" s="14">
        <f>'Segments 2024'!P31-'Segments 2024'!O31</f>
        <v>15.229999999999999</v>
      </c>
    </row>
    <row r="32" spans="1:9" x14ac:dyDescent="0.3">
      <c r="A32" s="26" t="s">
        <v>1732</v>
      </c>
      <c r="B32" s="26" t="s">
        <v>1832</v>
      </c>
      <c r="C32" s="19">
        <f>'Segments 2024'!D32</f>
        <v>19.64</v>
      </c>
      <c r="D32" s="19">
        <f>'Segments 2024'!L32-'Segments 2024'!K32</f>
        <v>16.799999999999997</v>
      </c>
      <c r="E32" s="19">
        <f>'Segments 2024'!J32-'Segments 2024'!I32</f>
        <v>17.37</v>
      </c>
      <c r="F32" s="19">
        <f>'Segments 2024'!N32-'Segments 2024'!M32</f>
        <v>8.59</v>
      </c>
      <c r="G32" s="19">
        <f>'Segments 2024'!F32-'Segments 2024'!E32</f>
        <v>-5.75</v>
      </c>
      <c r="H32" s="19">
        <f>'Segments 2024'!G32-'Segments 2024'!H32</f>
        <v>0.2099999999999973</v>
      </c>
      <c r="I32" s="19">
        <f>'Segments 2024'!P32-'Segments 2024'!O32</f>
        <v>16.759999999999998</v>
      </c>
    </row>
    <row r="33" spans="1:9" x14ac:dyDescent="0.3">
      <c r="A33" s="25" t="s">
        <v>1734</v>
      </c>
      <c r="B33" s="25" t="s">
        <v>1832</v>
      </c>
      <c r="C33" s="14">
        <f>'Segments 2024'!D33</f>
        <v>58.38</v>
      </c>
      <c r="D33" s="14">
        <f>'Segments 2024'!L33-'Segments 2024'!K33</f>
        <v>41.81</v>
      </c>
      <c r="E33" s="14">
        <f>'Segments 2024'!J33-'Segments 2024'!I33</f>
        <v>42.07</v>
      </c>
      <c r="F33" s="14">
        <f>'Segments 2024'!N33-'Segments 2024'!M33</f>
        <v>15.899999999999999</v>
      </c>
      <c r="G33" s="14">
        <f>'Segments 2024'!F33-'Segments 2024'!E33</f>
        <v>2.1099999999999994</v>
      </c>
      <c r="H33" s="14">
        <f>'Segments 2024'!G33-'Segments 2024'!H33</f>
        <v>0.15999999999999659</v>
      </c>
      <c r="I33" s="14">
        <f>'Segments 2024'!P33-'Segments 2024'!O33</f>
        <v>40.410000000000004</v>
      </c>
    </row>
    <row r="34" spans="1:9" x14ac:dyDescent="0.3">
      <c r="A34" s="26" t="s">
        <v>1736</v>
      </c>
      <c r="B34" s="26" t="s">
        <v>1832</v>
      </c>
      <c r="C34" s="19">
        <f>'Segments 2024'!D34</f>
        <v>29.98</v>
      </c>
      <c r="D34" s="19">
        <f>'Segments 2024'!L34-'Segments 2024'!K34</f>
        <v>20.94</v>
      </c>
      <c r="E34" s="19">
        <f>'Segments 2024'!J34-'Segments 2024'!I34</f>
        <v>24.870000000000005</v>
      </c>
      <c r="F34" s="19">
        <f>'Segments 2024'!N34-'Segments 2024'!M34</f>
        <v>10.329999999999998</v>
      </c>
      <c r="G34" s="19">
        <f>'Segments 2024'!F34-'Segments 2024'!E34</f>
        <v>-3.2200000000000024</v>
      </c>
      <c r="H34" s="19">
        <f>'Segments 2024'!G34-'Segments 2024'!H34</f>
        <v>-11.749999999999996</v>
      </c>
      <c r="I34" s="19">
        <f>'Segments 2024'!P34-'Segments 2024'!O34</f>
        <v>22.769999999999996</v>
      </c>
    </row>
    <row r="35" spans="1:9" x14ac:dyDescent="0.3">
      <c r="A35" s="25" t="s">
        <v>1836</v>
      </c>
      <c r="B35" s="25" t="s">
        <v>1837</v>
      </c>
      <c r="C35" s="14">
        <f>'Segments 2024'!D35</f>
        <v>43.2</v>
      </c>
      <c r="D35" s="14">
        <f>'Segments 2024'!L35-'Segments 2024'!K35</f>
        <v>6.0399999999999991</v>
      </c>
      <c r="E35" s="14">
        <f>'Segments 2024'!J35-'Segments 2024'!I35</f>
        <v>5.0300000000000011</v>
      </c>
      <c r="F35" s="14">
        <f>'Segments 2024'!N35-'Segments 2024'!M35</f>
        <v>0.21000000000000085</v>
      </c>
      <c r="G35" s="14">
        <f>'Segments 2024'!F35-'Segments 2024'!E35</f>
        <v>0.35999999999999943</v>
      </c>
      <c r="H35" s="14">
        <f>'Segments 2024'!G35-'Segments 2024'!H35</f>
        <v>-3.3900000000000006</v>
      </c>
      <c r="I35" s="14">
        <f>'Segments 2024'!P35-'Segments 2024'!O35</f>
        <v>11.130000000000003</v>
      </c>
    </row>
    <row r="36" spans="1:9" x14ac:dyDescent="0.3">
      <c r="A36" s="26" t="s">
        <v>1839</v>
      </c>
      <c r="B36" s="26" t="s">
        <v>1837</v>
      </c>
      <c r="C36" s="19">
        <f>'Segments 2024'!D36</f>
        <v>33.590000000000003</v>
      </c>
      <c r="D36" s="19">
        <f>'Segments 2024'!L36-'Segments 2024'!K36</f>
        <v>0.67999999999999972</v>
      </c>
      <c r="E36" s="19">
        <f>'Segments 2024'!J36-'Segments 2024'!I36</f>
        <v>2.4800000000000004</v>
      </c>
      <c r="F36" s="19">
        <f>'Segments 2024'!N36-'Segments 2024'!M36</f>
        <v>1.0499999999999972</v>
      </c>
      <c r="G36" s="19">
        <f>'Segments 2024'!F36-'Segments 2024'!E36</f>
        <v>-2.5</v>
      </c>
      <c r="H36" s="19">
        <f>'Segments 2024'!G36-'Segments 2024'!H36</f>
        <v>1.980000000000004</v>
      </c>
      <c r="I36" s="19">
        <f>'Segments 2024'!P36-'Segments 2024'!O36</f>
        <v>10.79</v>
      </c>
    </row>
    <row r="37" spans="1:9" x14ac:dyDescent="0.3">
      <c r="A37" s="25" t="s">
        <v>1841</v>
      </c>
      <c r="B37" s="25" t="s">
        <v>1842</v>
      </c>
      <c r="C37" s="14">
        <f>'Segments 2024'!D37</f>
        <v>17.059999999999999</v>
      </c>
      <c r="D37" s="14">
        <f>'Segments 2024'!L37-'Segments 2024'!K37</f>
        <v>-2.629999999999999</v>
      </c>
      <c r="E37" s="14">
        <f>'Segments 2024'!J37-'Segments 2024'!I37</f>
        <v>-1.6600000000000001</v>
      </c>
      <c r="F37" s="14">
        <f>'Segments 2024'!N37-'Segments 2024'!M37</f>
        <v>-3.33</v>
      </c>
      <c r="G37" s="14">
        <f>'Segments 2024'!F37-'Segments 2024'!E37</f>
        <v>-6.3299999999999983</v>
      </c>
      <c r="H37" s="14">
        <f>'Segments 2024'!G37-'Segments 2024'!H37</f>
        <v>-14.93</v>
      </c>
      <c r="I37" s="14">
        <f>'Segments 2024'!P37-'Segments 2024'!O37</f>
        <v>7.6199999999999992</v>
      </c>
    </row>
    <row r="38" spans="1:9" x14ac:dyDescent="0.3">
      <c r="A38" s="26" t="s">
        <v>1844</v>
      </c>
      <c r="B38" s="26" t="s">
        <v>1845</v>
      </c>
      <c r="C38" s="19">
        <f>'Segments 2024'!D38</f>
        <v>45.62</v>
      </c>
      <c r="D38" s="19">
        <f>'Segments 2024'!L38-'Segments 2024'!K38</f>
        <v>24.45</v>
      </c>
      <c r="E38" s="19">
        <f>'Segments 2024'!J38-'Segments 2024'!I38</f>
        <v>16.919999999999998</v>
      </c>
      <c r="F38" s="19">
        <f>'Segments 2024'!N38-'Segments 2024'!M38</f>
        <v>8.980000000000004</v>
      </c>
      <c r="G38" s="19">
        <f>'Segments 2024'!F38-'Segments 2024'!E38</f>
        <v>9.1600000000000037</v>
      </c>
      <c r="H38" s="19">
        <f>'Segments 2024'!G38-'Segments 2024'!H38</f>
        <v>-3.1700000000000017</v>
      </c>
      <c r="I38" s="19">
        <f>'Segments 2024'!P38-'Segments 2024'!O38</f>
        <v>49.15</v>
      </c>
    </row>
    <row r="39" spans="1:9" x14ac:dyDescent="0.3">
      <c r="A39" s="25" t="s">
        <v>1753</v>
      </c>
      <c r="B39" s="25" t="s">
        <v>1845</v>
      </c>
      <c r="C39" s="14">
        <f>'Segments 2024'!D39</f>
        <v>36.99</v>
      </c>
      <c r="D39" s="14">
        <f>'Segments 2024'!L39-'Segments 2024'!K39</f>
        <v>31.4</v>
      </c>
      <c r="E39" s="14">
        <f>'Segments 2024'!J39-'Segments 2024'!I39</f>
        <v>30.049999999999997</v>
      </c>
      <c r="F39" s="14">
        <f>'Segments 2024'!N39-'Segments 2024'!M39</f>
        <v>10.550000000000004</v>
      </c>
      <c r="G39" s="14">
        <f>'Segments 2024'!F39-'Segments 2024'!E39</f>
        <v>4.5300000000000011</v>
      </c>
      <c r="H39" s="14">
        <f>'Segments 2024'!G39-'Segments 2024'!H39</f>
        <v>-7.9999999999998295E-2</v>
      </c>
      <c r="I39" s="14">
        <f>'Segments 2024'!P39-'Segments 2024'!O39</f>
        <v>40.78</v>
      </c>
    </row>
    <row r="40" spans="1:9" x14ac:dyDescent="0.3">
      <c r="A40" s="26" t="s">
        <v>1847</v>
      </c>
      <c r="B40" s="26" t="s">
        <v>1845</v>
      </c>
      <c r="C40" s="19">
        <f>'Segments 2024'!D40</f>
        <v>19.66</v>
      </c>
      <c r="D40" s="19">
        <f>'Segments 2024'!L40-'Segments 2024'!K40</f>
        <v>20.39</v>
      </c>
      <c r="E40" s="19">
        <f>'Segments 2024'!J40-'Segments 2024'!I40</f>
        <v>15.040000000000001</v>
      </c>
      <c r="F40" s="19">
        <f>'Segments 2024'!N40-'Segments 2024'!M40</f>
        <v>12.61</v>
      </c>
      <c r="G40" s="19">
        <f>'Segments 2024'!F40-'Segments 2024'!E40</f>
        <v>1.7300000000000004</v>
      </c>
      <c r="H40" s="19">
        <f>'Segments 2024'!G40-'Segments 2024'!H40</f>
        <v>2.6799999999999997</v>
      </c>
      <c r="I40" s="19">
        <f>'Segments 2024'!P40-'Segments 2024'!O40</f>
        <v>19.579999999999998</v>
      </c>
    </row>
    <row r="41" spans="1:9" x14ac:dyDescent="0.3">
      <c r="A41" s="25" t="s">
        <v>1849</v>
      </c>
      <c r="B41" s="25" t="s">
        <v>1845</v>
      </c>
      <c r="C41" s="14">
        <f>'Segments 2024'!D41</f>
        <v>23.75</v>
      </c>
      <c r="D41" s="14">
        <f>'Segments 2024'!L41-'Segments 2024'!K41</f>
        <v>-22.46</v>
      </c>
      <c r="E41" s="14">
        <f>'Segments 2024'!J41-'Segments 2024'!I41</f>
        <v>-2.7800000000000011</v>
      </c>
      <c r="F41" s="14">
        <f>'Segments 2024'!N41-'Segments 2024'!M41</f>
        <v>-21.21</v>
      </c>
      <c r="G41" s="14">
        <f>'Segments 2024'!F41-'Segments 2024'!E41</f>
        <v>2.8299999999999983</v>
      </c>
      <c r="H41" s="14">
        <f>'Segments 2024'!G41-'Segments 2024'!H41</f>
        <v>-17.420000000000002</v>
      </c>
      <c r="I41" s="14">
        <f>'Segments 2024'!P41-'Segments 2024'!O41</f>
        <v>7.1500000000000021</v>
      </c>
    </row>
    <row r="42" spans="1:9" x14ac:dyDescent="0.3">
      <c r="A42" s="26" t="s">
        <v>1851</v>
      </c>
      <c r="B42" s="26" t="s">
        <v>1845</v>
      </c>
      <c r="C42" s="19">
        <f>'Segments 2024'!D42</f>
        <v>17.48</v>
      </c>
      <c r="D42" s="19">
        <f>'Segments 2024'!L42-'Segments 2024'!K42</f>
        <v>-23.39</v>
      </c>
      <c r="E42" s="19">
        <f>'Segments 2024'!J42-'Segments 2024'!I42</f>
        <v>-6.7800000000000011</v>
      </c>
      <c r="F42" s="19">
        <f>'Segments 2024'!N42-'Segments 2024'!M42</f>
        <v>-15.850000000000001</v>
      </c>
      <c r="G42" s="19">
        <f>'Segments 2024'!F42-'Segments 2024'!E42</f>
        <v>2.0399999999999991</v>
      </c>
      <c r="H42" s="19">
        <f>'Segments 2024'!G42-'Segments 2024'!H42</f>
        <v>-13.780000000000001</v>
      </c>
      <c r="I42" s="19">
        <f>'Segments 2024'!P42-'Segments 2024'!O42</f>
        <v>3.2000000000000011</v>
      </c>
    </row>
    <row r="43" spans="1:9" x14ac:dyDescent="0.3">
      <c r="A43" s="25" t="s">
        <v>1853</v>
      </c>
      <c r="B43" s="25" t="s">
        <v>1845</v>
      </c>
      <c r="C43" s="14">
        <f>'Segments 2024'!D43</f>
        <v>29.36</v>
      </c>
      <c r="D43" s="14">
        <f>'Segments 2024'!L43-'Segments 2024'!K43</f>
        <v>2.5</v>
      </c>
      <c r="E43" s="14">
        <f>'Segments 2024'!J43-'Segments 2024'!I43</f>
        <v>-0.25999999999999801</v>
      </c>
      <c r="F43" s="14">
        <f>'Segments 2024'!N43-'Segments 2024'!M43</f>
        <v>3.7200000000000024</v>
      </c>
      <c r="G43" s="14">
        <f>'Segments 2024'!F43-'Segments 2024'!E43</f>
        <v>-3.1099999999999994</v>
      </c>
      <c r="H43" s="14">
        <f>'Segments 2024'!G43-'Segments 2024'!H43</f>
        <v>-2.0100000000000016</v>
      </c>
      <c r="I43" s="14">
        <f>'Segments 2024'!P43-'Segments 2024'!O43</f>
        <v>-2.34</v>
      </c>
    </row>
    <row r="44" spans="1:9" x14ac:dyDescent="0.3">
      <c r="A44" s="26" t="s">
        <v>1855</v>
      </c>
      <c r="B44" s="26" t="s">
        <v>1856</v>
      </c>
      <c r="C44" s="19">
        <f>'Segments 2024'!D44</f>
        <v>16.63</v>
      </c>
      <c r="D44" s="19">
        <f>'Segments 2024'!L44-'Segments 2024'!K44</f>
        <v>-17.200000000000003</v>
      </c>
      <c r="E44" s="19">
        <f>'Segments 2024'!J44-'Segments 2024'!I44</f>
        <v>-20.009999999999998</v>
      </c>
      <c r="F44" s="19">
        <f>'Segments 2024'!N44-'Segments 2024'!M44</f>
        <v>-5.7899999999999991</v>
      </c>
      <c r="G44" s="19">
        <f>'Segments 2024'!F44-'Segments 2024'!E44</f>
        <v>-2.1899999999999995</v>
      </c>
      <c r="H44" s="19">
        <f>'Segments 2024'!G44-'Segments 2024'!H44</f>
        <v>14.23</v>
      </c>
      <c r="I44" s="19">
        <f>'Segments 2024'!P44-'Segments 2024'!O44</f>
        <v>-20.089999999999996</v>
      </c>
    </row>
    <row r="45" spans="1:9" x14ac:dyDescent="0.3">
      <c r="A45" s="25" t="s">
        <v>1740</v>
      </c>
      <c r="B45" s="25" t="s">
        <v>1856</v>
      </c>
      <c r="C45" s="14">
        <f>'Segments 2024'!D45</f>
        <v>49.79</v>
      </c>
      <c r="D45" s="14">
        <f>'Segments 2024'!L45-'Segments 2024'!K45</f>
        <v>14.879999999999995</v>
      </c>
      <c r="E45" s="14">
        <f>'Segments 2024'!J45-'Segments 2024'!I45</f>
        <v>12.310000000000002</v>
      </c>
      <c r="F45" s="14">
        <f>'Segments 2024'!N45-'Segments 2024'!M45</f>
        <v>6.0500000000000043</v>
      </c>
      <c r="G45" s="14">
        <f>'Segments 2024'!F45-'Segments 2024'!E45</f>
        <v>-4.25</v>
      </c>
      <c r="H45" s="14">
        <f>'Segments 2024'!G45-'Segments 2024'!H45</f>
        <v>-10.57</v>
      </c>
      <c r="I45" s="14">
        <f>'Segments 2024'!P45-'Segments 2024'!O45</f>
        <v>16.420000000000002</v>
      </c>
    </row>
    <row r="46" spans="1:9" x14ac:dyDescent="0.3">
      <c r="A46" s="26" t="s">
        <v>1858</v>
      </c>
      <c r="B46" s="26" t="s">
        <v>1856</v>
      </c>
      <c r="C46" s="19">
        <f>'Segments 2024'!D46</f>
        <v>48.85</v>
      </c>
      <c r="D46" s="19">
        <f>'Segments 2024'!L46-'Segments 2024'!K46</f>
        <v>15.469999999999999</v>
      </c>
      <c r="E46" s="19">
        <f>'Segments 2024'!J46-'Segments 2024'!I46</f>
        <v>23.389999999999997</v>
      </c>
      <c r="F46" s="19">
        <f>'Segments 2024'!N46-'Segments 2024'!M46</f>
        <v>-2.1199999999999974</v>
      </c>
      <c r="G46" s="19">
        <f>'Segments 2024'!F46-'Segments 2024'!E46</f>
        <v>4.6000000000000014</v>
      </c>
      <c r="H46" s="19">
        <f>'Segments 2024'!G46-'Segments 2024'!H46</f>
        <v>-4.5799999999999983</v>
      </c>
      <c r="I46" s="19">
        <f>'Segments 2024'!P46-'Segments 2024'!O46</f>
        <v>13.730000000000004</v>
      </c>
    </row>
    <row r="47" spans="1:9" x14ac:dyDescent="0.3">
      <c r="A47" s="25" t="s">
        <v>1860</v>
      </c>
      <c r="B47" s="25" t="s">
        <v>1856</v>
      </c>
      <c r="C47" s="14">
        <f>'Segments 2024'!D47</f>
        <v>19.829999999999998</v>
      </c>
      <c r="D47" s="14">
        <f>'Segments 2024'!L47-'Segments 2024'!K47</f>
        <v>-12.290000000000001</v>
      </c>
      <c r="E47" s="14">
        <f>'Segments 2024'!J47-'Segments 2024'!I47</f>
        <v>-17.75</v>
      </c>
      <c r="F47" s="14">
        <f>'Segments 2024'!N47-'Segments 2024'!M47</f>
        <v>-1.4699999999999989</v>
      </c>
      <c r="G47" s="14">
        <f>'Segments 2024'!F47-'Segments 2024'!E47</f>
        <v>3.0000000000001137E-2</v>
      </c>
      <c r="H47" s="14">
        <f>'Segments 2024'!G47-'Segments 2024'!H47</f>
        <v>3.370000000000001</v>
      </c>
      <c r="I47" s="14">
        <f>'Segments 2024'!P47-'Segments 2024'!O47</f>
        <v>-6.09</v>
      </c>
    </row>
    <row r="48" spans="1:9" x14ac:dyDescent="0.3">
      <c r="A48" s="26" t="s">
        <v>1862</v>
      </c>
      <c r="B48" s="26" t="s">
        <v>1856</v>
      </c>
      <c r="C48" s="19">
        <f>'Segments 2024'!D48</f>
        <v>16.68</v>
      </c>
      <c r="D48" s="19">
        <f>'Segments 2024'!L48-'Segments 2024'!K48</f>
        <v>-5.8200000000000021</v>
      </c>
      <c r="E48" s="19">
        <f>'Segments 2024'!J48-'Segments 2024'!I48</f>
        <v>-8.7699999999999978</v>
      </c>
      <c r="F48" s="19">
        <f>'Segments 2024'!N48-'Segments 2024'!M48</f>
        <v>3.5999999999999996</v>
      </c>
      <c r="G48" s="19">
        <f>'Segments 2024'!F48-'Segments 2024'!E48</f>
        <v>-5.17</v>
      </c>
      <c r="H48" s="19">
        <f>'Segments 2024'!G48-'Segments 2024'!H48</f>
        <v>-17.509999999999998</v>
      </c>
      <c r="I48" s="19">
        <f>'Segments 2024'!P48-'Segments 2024'!O48</f>
        <v>2.629999999999999</v>
      </c>
    </row>
    <row r="49" spans="1:9" x14ac:dyDescent="0.3">
      <c r="A49" s="25" t="s">
        <v>1864</v>
      </c>
      <c r="B49" s="25" t="s">
        <v>1865</v>
      </c>
      <c r="C49" s="14">
        <f>'Segments 2024'!D49</f>
        <v>87.88</v>
      </c>
      <c r="D49" s="14">
        <f>'Segments 2024'!L49-'Segments 2024'!K49</f>
        <v>21.83</v>
      </c>
      <c r="E49" s="14">
        <f>'Segments 2024'!J49-'Segments 2024'!I49</f>
        <v>27.14</v>
      </c>
      <c r="F49" s="14">
        <f>'Segments 2024'!N49-'Segments 2024'!M49</f>
        <v>3.5400000000000063</v>
      </c>
      <c r="G49" s="14">
        <f>'Segments 2024'!F49-'Segments 2024'!E49</f>
        <v>1.4500000000000028</v>
      </c>
      <c r="H49" s="14">
        <f>'Segments 2024'!G49-'Segments 2024'!H49</f>
        <v>14.64</v>
      </c>
      <c r="I49" s="14">
        <f>'Segments 2024'!P49-'Segments 2024'!O49</f>
        <v>12.11</v>
      </c>
    </row>
    <row r="50" spans="1:9" x14ac:dyDescent="0.3">
      <c r="A50" s="26" t="s">
        <v>1867</v>
      </c>
      <c r="B50" s="26" t="s">
        <v>1865</v>
      </c>
      <c r="C50" s="19">
        <f>'Segments 2024'!D50</f>
        <v>97.78</v>
      </c>
      <c r="D50" s="19">
        <f>'Segments 2024'!L50-'Segments 2024'!K50</f>
        <v>3.9599999999999937</v>
      </c>
      <c r="E50" s="19">
        <f>'Segments 2024'!J50-'Segments 2024'!I50</f>
        <v>8.9399999999999977</v>
      </c>
      <c r="F50" s="19">
        <f>'Segments 2024'!N50-'Segments 2024'!M50</f>
        <v>1.4799999999999898</v>
      </c>
      <c r="G50" s="19">
        <f>'Segments 2024'!F50-'Segments 2024'!E50</f>
        <v>-1.1699999999999875</v>
      </c>
      <c r="H50" s="19">
        <f>'Segments 2024'!G50-'Segments 2024'!H50</f>
        <v>-0.78000000000000114</v>
      </c>
      <c r="I50" s="19">
        <f>'Segments 2024'!P50-'Segments 2024'!O50</f>
        <v>5.1599999999999966</v>
      </c>
    </row>
    <row r="51" spans="1:9" x14ac:dyDescent="0.3">
      <c r="A51" s="25" t="s">
        <v>1747</v>
      </c>
      <c r="B51" s="25" t="s">
        <v>1865</v>
      </c>
      <c r="C51" s="14">
        <f>'Segments 2024'!D51</f>
        <v>85.44</v>
      </c>
      <c r="D51" s="14">
        <f>'Segments 2024'!L51-'Segments 2024'!K51</f>
        <v>22.42</v>
      </c>
      <c r="E51" s="14">
        <f>'Segments 2024'!J51-'Segments 2024'!I51</f>
        <v>33.469999999999992</v>
      </c>
      <c r="F51" s="14">
        <f>'Segments 2024'!N51-'Segments 2024'!M51</f>
        <v>5.3499999999999943</v>
      </c>
      <c r="G51" s="14">
        <f>'Segments 2024'!F51-'Segments 2024'!E51</f>
        <v>0.76999999999999602</v>
      </c>
      <c r="H51" s="14">
        <f>'Segments 2024'!G51-'Segments 2024'!H51</f>
        <v>14.11999999999999</v>
      </c>
      <c r="I51" s="14">
        <f>'Segments 2024'!P51-'Segments 2024'!O51</f>
        <v>15.280000000000001</v>
      </c>
    </row>
    <row r="52" spans="1:9" x14ac:dyDescent="0.3">
      <c r="A52" s="26" t="s">
        <v>1745</v>
      </c>
      <c r="B52" s="26" t="s">
        <v>1865</v>
      </c>
      <c r="C52" s="19">
        <f>'Segments 2024'!D52</f>
        <v>83.93</v>
      </c>
      <c r="D52" s="19">
        <f>'Segments 2024'!L52-'Segments 2024'!K52</f>
        <v>24.100000000000009</v>
      </c>
      <c r="E52" s="19">
        <f>'Segments 2024'!J52-'Segments 2024'!I52</f>
        <v>35.069999999999993</v>
      </c>
      <c r="F52" s="19">
        <f>'Segments 2024'!N52-'Segments 2024'!M52</f>
        <v>5.7600000000000051</v>
      </c>
      <c r="G52" s="19">
        <f>'Segments 2024'!F52-'Segments 2024'!E52</f>
        <v>1.25</v>
      </c>
      <c r="H52" s="19">
        <f>'Segments 2024'!G52-'Segments 2024'!H52</f>
        <v>15.649999999999991</v>
      </c>
      <c r="I52" s="19">
        <f>'Segments 2024'!P52-'Segments 2024'!O52</f>
        <v>12.909999999999997</v>
      </c>
    </row>
    <row r="53" spans="1:9" x14ac:dyDescent="0.3">
      <c r="A53" s="25" t="s">
        <v>1869</v>
      </c>
      <c r="B53" s="25" t="s">
        <v>1865</v>
      </c>
      <c r="C53" s="14">
        <f>'Segments 2024'!D53</f>
        <v>66.430000000000007</v>
      </c>
      <c r="D53" s="14">
        <f>'Segments 2024'!L53-'Segments 2024'!K53</f>
        <v>26.280000000000008</v>
      </c>
      <c r="E53" s="14">
        <f>'Segments 2024'!J53-'Segments 2024'!I53</f>
        <v>37.81</v>
      </c>
      <c r="F53" s="14">
        <f>'Segments 2024'!N53-'Segments 2024'!M53</f>
        <v>7.7900000000000063</v>
      </c>
      <c r="G53" s="14">
        <f>'Segments 2024'!F53-'Segments 2024'!E53</f>
        <v>1.0799999999999983</v>
      </c>
      <c r="H53" s="14">
        <f>'Segments 2024'!G53-'Segments 2024'!H53</f>
        <v>22.230000000000004</v>
      </c>
      <c r="I53" s="14">
        <f>'Segments 2024'!P53-'Segments 2024'!O53</f>
        <v>20.43</v>
      </c>
    </row>
    <row r="54" spans="1:9" x14ac:dyDescent="0.3">
      <c r="A54" s="26" t="s">
        <v>1871</v>
      </c>
      <c r="B54" s="26" t="s">
        <v>1865</v>
      </c>
      <c r="C54" s="19">
        <f>'Segments 2024'!D54</f>
        <v>83.17</v>
      </c>
      <c r="D54" s="19">
        <f>'Segments 2024'!L54-'Segments 2024'!K54</f>
        <v>26.590000000000003</v>
      </c>
      <c r="E54" s="19">
        <f>'Segments 2024'!J54-'Segments 2024'!I54</f>
        <v>37.989999999999995</v>
      </c>
      <c r="F54" s="19">
        <f>'Segments 2024'!N54-'Segments 2024'!M54</f>
        <v>4.789999999999992</v>
      </c>
      <c r="G54" s="19">
        <f>'Segments 2024'!F54-'Segments 2024'!E54</f>
        <v>0.43000000000000682</v>
      </c>
      <c r="H54" s="19">
        <f>'Segments 2024'!G54-'Segments 2024'!H54</f>
        <v>17.799999999999997</v>
      </c>
      <c r="I54" s="19">
        <f>'Segments 2024'!P54-'Segments 2024'!O54</f>
        <v>17.910000000000011</v>
      </c>
    </row>
    <row r="55" spans="1:9" x14ac:dyDescent="0.3">
      <c r="A55" s="25" t="s">
        <v>1873</v>
      </c>
      <c r="B55" s="25" t="s">
        <v>1865</v>
      </c>
      <c r="C55" s="14">
        <f>'Segments 2024'!D55</f>
        <v>11.76</v>
      </c>
      <c r="D55" s="14">
        <f>'Segments 2024'!L55-'Segments 2024'!K55</f>
        <v>8.93</v>
      </c>
      <c r="E55" s="14">
        <f>'Segments 2024'!J55-'Segments 2024'!I55</f>
        <v>9.9</v>
      </c>
      <c r="F55" s="14">
        <f>'Segments 2024'!N55-'Segments 2024'!M55</f>
        <v>8.8500000000000014</v>
      </c>
      <c r="G55" s="14">
        <f>'Segments 2024'!F55-'Segments 2024'!E55</f>
        <v>-0.89999999999999858</v>
      </c>
      <c r="H55" s="14">
        <f>'Segments 2024'!G55-'Segments 2024'!H55</f>
        <v>7.1499999999999986</v>
      </c>
      <c r="I55" s="14">
        <f>'Segments 2024'!P55-'Segments 2024'!O55</f>
        <v>4.97</v>
      </c>
    </row>
  </sheetData>
  <autoFilter ref="A4:I55" xr:uid="{00000000-0009-0000-0000-00000D000000}"/>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D36"/>
  <sheetViews>
    <sheetView showGridLines="0" workbookViewId="0">
      <pane ySplit="4" topLeftCell="A5" activePane="bottomLeft" state="frozen"/>
      <selection pane="bottomLeft"/>
    </sheetView>
  </sheetViews>
  <sheetFormatPr defaultRowHeight="14" x14ac:dyDescent="0.3"/>
  <cols>
    <col min="1" max="1" width="22" customWidth="1"/>
    <col min="2" max="2" width="62" customWidth="1"/>
    <col min="3" max="3" width="18" customWidth="1"/>
    <col min="4" max="4" width="14" customWidth="1"/>
  </cols>
  <sheetData>
    <row r="1" spans="1:4" ht="18" x14ac:dyDescent="0.4">
      <c r="A1" s="1" t="s">
        <v>1882</v>
      </c>
    </row>
    <row r="2" spans="1:4" x14ac:dyDescent="0.3">
      <c r="A2" s="8" t="s">
        <v>1883</v>
      </c>
    </row>
    <row r="4" spans="1:4" x14ac:dyDescent="0.3">
      <c r="A4" s="65" t="s">
        <v>1726</v>
      </c>
      <c r="B4" s="65" t="s">
        <v>1374</v>
      </c>
      <c r="C4" s="65" t="s">
        <v>1481</v>
      </c>
      <c r="D4" s="65" t="s">
        <v>1884</v>
      </c>
    </row>
    <row r="5" spans="1:4" x14ac:dyDescent="0.3">
      <c r="A5" s="25" t="s">
        <v>1885</v>
      </c>
      <c r="B5" s="25" t="s">
        <v>1886</v>
      </c>
      <c r="C5" s="25" t="s">
        <v>1790</v>
      </c>
      <c r="D5" s="63">
        <v>7.72</v>
      </c>
    </row>
    <row r="6" spans="1:4" x14ac:dyDescent="0.3">
      <c r="A6" s="26" t="s">
        <v>1887</v>
      </c>
      <c r="B6" s="26" t="s">
        <v>1888</v>
      </c>
      <c r="C6" s="26" t="s">
        <v>1790</v>
      </c>
      <c r="D6" s="64">
        <v>4.62</v>
      </c>
    </row>
    <row r="7" spans="1:4" x14ac:dyDescent="0.3">
      <c r="A7" s="25" t="s">
        <v>1889</v>
      </c>
      <c r="B7" s="25" t="s">
        <v>1890</v>
      </c>
      <c r="C7" s="25" t="s">
        <v>1790</v>
      </c>
      <c r="D7" s="63">
        <v>2.06</v>
      </c>
    </row>
    <row r="8" spans="1:4" x14ac:dyDescent="0.3">
      <c r="A8" s="26" t="s">
        <v>1891</v>
      </c>
      <c r="B8" s="26" t="s">
        <v>1892</v>
      </c>
      <c r="C8" s="26" t="s">
        <v>1790</v>
      </c>
      <c r="D8" s="64">
        <v>2.0299999999999998</v>
      </c>
    </row>
    <row r="9" spans="1:4" x14ac:dyDescent="0.3">
      <c r="A9" s="25" t="s">
        <v>1893</v>
      </c>
      <c r="B9" s="25" t="s">
        <v>1894</v>
      </c>
      <c r="C9" s="25" t="s">
        <v>1790</v>
      </c>
      <c r="D9" s="63">
        <v>1.92</v>
      </c>
    </row>
    <row r="10" spans="1:4" x14ac:dyDescent="0.3">
      <c r="A10" s="26" t="s">
        <v>1895</v>
      </c>
      <c r="B10" s="26" t="s">
        <v>1896</v>
      </c>
      <c r="C10" s="26" t="s">
        <v>1790</v>
      </c>
      <c r="D10" s="64">
        <v>1.5</v>
      </c>
    </row>
    <row r="11" spans="1:4" x14ac:dyDescent="0.3">
      <c r="A11" s="25" t="s">
        <v>1897</v>
      </c>
      <c r="B11" s="25" t="s">
        <v>1898</v>
      </c>
      <c r="C11" s="25" t="s">
        <v>1790</v>
      </c>
      <c r="D11" s="63">
        <v>1.19</v>
      </c>
    </row>
    <row r="12" spans="1:4" x14ac:dyDescent="0.3">
      <c r="A12" s="26" t="s">
        <v>1899</v>
      </c>
      <c r="B12" s="26" t="s">
        <v>1900</v>
      </c>
      <c r="C12" s="26" t="s">
        <v>1865</v>
      </c>
      <c r="D12" s="64">
        <v>8.26</v>
      </c>
    </row>
    <row r="13" spans="1:4" x14ac:dyDescent="0.3">
      <c r="A13" s="25" t="s">
        <v>1901</v>
      </c>
      <c r="B13" s="25" t="s">
        <v>1902</v>
      </c>
      <c r="C13" s="25" t="s">
        <v>1865</v>
      </c>
      <c r="D13" s="63">
        <v>2.04</v>
      </c>
    </row>
    <row r="14" spans="1:4" x14ac:dyDescent="0.3">
      <c r="A14" s="26" t="s">
        <v>1903</v>
      </c>
      <c r="B14" s="26" t="s">
        <v>1904</v>
      </c>
      <c r="C14" s="26" t="s">
        <v>1837</v>
      </c>
      <c r="D14" s="64">
        <v>8.11</v>
      </c>
    </row>
    <row r="15" spans="1:4" x14ac:dyDescent="0.3">
      <c r="A15" s="25" t="s">
        <v>1905</v>
      </c>
      <c r="B15" s="25" t="s">
        <v>1906</v>
      </c>
      <c r="C15" s="25" t="s">
        <v>1837</v>
      </c>
      <c r="D15" s="63">
        <v>7.67</v>
      </c>
    </row>
    <row r="16" spans="1:4" x14ac:dyDescent="0.3">
      <c r="A16" s="26" t="s">
        <v>1907</v>
      </c>
      <c r="B16" s="26" t="s">
        <v>1908</v>
      </c>
      <c r="C16" s="26" t="s">
        <v>1837</v>
      </c>
      <c r="D16" s="64">
        <v>5.82</v>
      </c>
    </row>
    <row r="17" spans="1:4" x14ac:dyDescent="0.3">
      <c r="A17" s="25" t="s">
        <v>1909</v>
      </c>
      <c r="B17" s="25" t="s">
        <v>1910</v>
      </c>
      <c r="C17" s="25" t="s">
        <v>1837</v>
      </c>
      <c r="D17" s="63">
        <v>5.68</v>
      </c>
    </row>
    <row r="18" spans="1:4" x14ac:dyDescent="0.3">
      <c r="A18" s="26" t="s">
        <v>1911</v>
      </c>
      <c r="B18" s="26" t="s">
        <v>1912</v>
      </c>
      <c r="C18" s="26" t="s">
        <v>1837</v>
      </c>
      <c r="D18" s="64">
        <v>4.58</v>
      </c>
    </row>
    <row r="19" spans="1:4" x14ac:dyDescent="0.3">
      <c r="A19" s="25" t="s">
        <v>1913</v>
      </c>
      <c r="B19" s="25" t="s">
        <v>1914</v>
      </c>
      <c r="C19" s="25" t="s">
        <v>1837</v>
      </c>
      <c r="D19" s="63">
        <v>4.41</v>
      </c>
    </row>
    <row r="20" spans="1:4" x14ac:dyDescent="0.3">
      <c r="A20" s="26" t="s">
        <v>1915</v>
      </c>
      <c r="B20" s="26" t="s">
        <v>1916</v>
      </c>
      <c r="C20" s="26" t="s">
        <v>1837</v>
      </c>
      <c r="D20" s="64">
        <v>3.33</v>
      </c>
    </row>
    <row r="21" spans="1:4" x14ac:dyDescent="0.3">
      <c r="A21" s="25" t="s">
        <v>1917</v>
      </c>
      <c r="B21" s="25" t="s">
        <v>1918</v>
      </c>
      <c r="C21" s="25" t="s">
        <v>1837</v>
      </c>
      <c r="D21" s="63">
        <v>3.1</v>
      </c>
    </row>
    <row r="22" spans="1:4" x14ac:dyDescent="0.3">
      <c r="A22" s="26" t="s">
        <v>1919</v>
      </c>
      <c r="B22" s="26" t="s">
        <v>1920</v>
      </c>
      <c r="C22" s="26" t="s">
        <v>1837</v>
      </c>
      <c r="D22" s="64">
        <v>2.93</v>
      </c>
    </row>
    <row r="23" spans="1:4" x14ac:dyDescent="0.3">
      <c r="A23" s="25" t="s">
        <v>1921</v>
      </c>
      <c r="B23" s="25" t="s">
        <v>1922</v>
      </c>
      <c r="C23" s="25" t="s">
        <v>1837</v>
      </c>
      <c r="D23" s="63">
        <v>0.77</v>
      </c>
    </row>
    <row r="24" spans="1:4" x14ac:dyDescent="0.3">
      <c r="A24" s="26" t="s">
        <v>1923</v>
      </c>
      <c r="B24" s="26" t="s">
        <v>1924</v>
      </c>
      <c r="C24" s="26" t="s">
        <v>1837</v>
      </c>
      <c r="D24" s="64">
        <v>0.69</v>
      </c>
    </row>
    <row r="25" spans="1:4" x14ac:dyDescent="0.3">
      <c r="A25" s="25" t="s">
        <v>1925</v>
      </c>
      <c r="B25" s="25" t="s">
        <v>1926</v>
      </c>
      <c r="C25" s="25" t="s">
        <v>1837</v>
      </c>
      <c r="D25" s="63">
        <v>0.43</v>
      </c>
    </row>
    <row r="26" spans="1:4" x14ac:dyDescent="0.3">
      <c r="A26" s="26" t="s">
        <v>1927</v>
      </c>
      <c r="B26" s="26" t="s">
        <v>1928</v>
      </c>
      <c r="C26" s="26" t="s">
        <v>1805</v>
      </c>
      <c r="D26" s="64">
        <v>17.88</v>
      </c>
    </row>
    <row r="27" spans="1:4" x14ac:dyDescent="0.3">
      <c r="A27" s="25" t="s">
        <v>1929</v>
      </c>
      <c r="B27" s="25" t="s">
        <v>1930</v>
      </c>
      <c r="C27" s="25" t="s">
        <v>1805</v>
      </c>
      <c r="D27" s="63">
        <v>3.4</v>
      </c>
    </row>
    <row r="28" spans="1:4" x14ac:dyDescent="0.3">
      <c r="A28" s="26" t="s">
        <v>1931</v>
      </c>
      <c r="B28" s="26" t="s">
        <v>1932</v>
      </c>
      <c r="C28" s="26" t="s">
        <v>1805</v>
      </c>
      <c r="D28" s="64">
        <v>0.19</v>
      </c>
    </row>
    <row r="29" spans="1:4" x14ac:dyDescent="0.3">
      <c r="A29" s="25" t="s">
        <v>1933</v>
      </c>
      <c r="B29" s="25" t="s">
        <v>1934</v>
      </c>
      <c r="C29" s="25" t="s">
        <v>1805</v>
      </c>
      <c r="D29" s="63">
        <v>0.14000000000000001</v>
      </c>
    </row>
    <row r="30" spans="1:4" x14ac:dyDescent="0.3">
      <c r="A30" s="26" t="s">
        <v>1935</v>
      </c>
      <c r="B30" s="26" t="s">
        <v>1936</v>
      </c>
      <c r="C30" s="26" t="s">
        <v>1805</v>
      </c>
      <c r="D30" s="64">
        <v>0.14000000000000001</v>
      </c>
    </row>
    <row r="31" spans="1:4" x14ac:dyDescent="0.3">
      <c r="A31" s="25" t="s">
        <v>1937</v>
      </c>
      <c r="B31" s="25" t="s">
        <v>1938</v>
      </c>
      <c r="C31" s="25" t="s">
        <v>1845</v>
      </c>
      <c r="D31" s="63">
        <v>2.59</v>
      </c>
    </row>
    <row r="32" spans="1:4" x14ac:dyDescent="0.3">
      <c r="A32" s="26" t="s">
        <v>1939</v>
      </c>
      <c r="B32" s="26" t="s">
        <v>1940</v>
      </c>
      <c r="C32" s="26" t="s">
        <v>1856</v>
      </c>
      <c r="D32" s="64">
        <v>9.93</v>
      </c>
    </row>
    <row r="33" spans="1:4" x14ac:dyDescent="0.3">
      <c r="A33" s="25" t="s">
        <v>1941</v>
      </c>
      <c r="B33" s="25" t="s">
        <v>1942</v>
      </c>
      <c r="C33" s="25" t="s">
        <v>1856</v>
      </c>
      <c r="D33" s="63">
        <v>4.01</v>
      </c>
    </row>
    <row r="34" spans="1:4" x14ac:dyDescent="0.3">
      <c r="A34" s="26" t="s">
        <v>1943</v>
      </c>
      <c r="B34" s="26" t="s">
        <v>1944</v>
      </c>
      <c r="C34" s="26" t="s">
        <v>1856</v>
      </c>
      <c r="D34" s="64">
        <v>4.01</v>
      </c>
    </row>
    <row r="35" spans="1:4" x14ac:dyDescent="0.3">
      <c r="A35" s="25" t="s">
        <v>1945</v>
      </c>
      <c r="B35" s="25" t="s">
        <v>1946</v>
      </c>
      <c r="C35" s="25" t="s">
        <v>1856</v>
      </c>
      <c r="D35" s="63">
        <v>3.54</v>
      </c>
    </row>
    <row r="36" spans="1:4" x14ac:dyDescent="0.3">
      <c r="A36" s="26" t="s">
        <v>1947</v>
      </c>
      <c r="B36" s="26" t="s">
        <v>1948</v>
      </c>
      <c r="C36" s="26" t="s">
        <v>1856</v>
      </c>
      <c r="D36" s="64">
        <v>1.74</v>
      </c>
    </row>
  </sheetData>
  <autoFilter ref="A4:D36" xr:uid="{00000000-0009-0000-0000-00000E000000}"/>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30"/>
  <sheetViews>
    <sheetView showGridLines="0" workbookViewId="0">
      <pane xSplit="2" ySplit="4" topLeftCell="C5" activePane="bottomRight" state="frozen"/>
      <selection pane="topRight"/>
      <selection pane="bottomLeft"/>
      <selection pane="bottomRight"/>
    </sheetView>
  </sheetViews>
  <sheetFormatPr defaultRowHeight="14" x14ac:dyDescent="0.3"/>
  <cols>
    <col min="1" max="1" width="22" customWidth="1"/>
    <col min="2" max="2" width="52" customWidth="1"/>
    <col min="3" max="7" width="11" customWidth="1"/>
    <col min="8" max="9" width="17" customWidth="1"/>
  </cols>
  <sheetData>
    <row r="1" spans="1:9" ht="18" x14ac:dyDescent="0.4">
      <c r="A1" s="1" t="s">
        <v>1949</v>
      </c>
    </row>
    <row r="2" spans="1:9" x14ac:dyDescent="0.3">
      <c r="A2" s="8" t="s">
        <v>1950</v>
      </c>
    </row>
    <row r="4" spans="1:9" ht="30" customHeight="1" x14ac:dyDescent="0.3">
      <c r="A4" s="9" t="s">
        <v>1726</v>
      </c>
      <c r="B4" s="9" t="s">
        <v>1374</v>
      </c>
      <c r="C4" s="10" t="s">
        <v>1951</v>
      </c>
      <c r="D4" s="10" t="s">
        <v>1952</v>
      </c>
      <c r="E4" s="10" t="s">
        <v>1953</v>
      </c>
      <c r="F4" s="10" t="s">
        <v>1341</v>
      </c>
      <c r="G4" s="10" t="s">
        <v>1343</v>
      </c>
      <c r="H4" s="10" t="s">
        <v>1954</v>
      </c>
      <c r="I4" s="10" t="s">
        <v>1955</v>
      </c>
    </row>
    <row r="5" spans="1:9" x14ac:dyDescent="0.3">
      <c r="A5" s="25" t="s">
        <v>1788</v>
      </c>
      <c r="B5" s="25" t="s">
        <v>1789</v>
      </c>
      <c r="C5" s="63">
        <v>21.37</v>
      </c>
      <c r="D5" s="63">
        <v>30.95</v>
      </c>
      <c r="E5" s="63">
        <v>30.8</v>
      </c>
      <c r="F5" s="63">
        <v>56.27</v>
      </c>
      <c r="G5" s="63">
        <v>70.55</v>
      </c>
      <c r="H5" s="14">
        <f t="shared" ref="H5:H30" si="0">IF(OR(E5="",G5=""),"",G5-E5)</f>
        <v>39.75</v>
      </c>
      <c r="I5" s="14">
        <f t="shared" ref="I5:I30" si="1">IF(OR(F5="",G5=""),"",G5-F5)</f>
        <v>14.279999999999994</v>
      </c>
    </row>
    <row r="6" spans="1:9" x14ac:dyDescent="0.3">
      <c r="A6" s="26" t="s">
        <v>1791</v>
      </c>
      <c r="B6" s="26" t="s">
        <v>1792</v>
      </c>
      <c r="C6" s="64">
        <v>21.37</v>
      </c>
      <c r="D6" s="64">
        <v>30.86</v>
      </c>
      <c r="E6" s="64">
        <v>30.02</v>
      </c>
      <c r="F6" s="64">
        <v>56.06</v>
      </c>
      <c r="G6" s="64">
        <v>69.849999999999994</v>
      </c>
      <c r="H6" s="19">
        <f t="shared" si="0"/>
        <v>39.83</v>
      </c>
      <c r="I6" s="19">
        <f t="shared" si="1"/>
        <v>13.789999999999992</v>
      </c>
    </row>
    <row r="7" spans="1:9" x14ac:dyDescent="0.3">
      <c r="A7" s="25" t="s">
        <v>1793</v>
      </c>
      <c r="B7" s="25" t="s">
        <v>1794</v>
      </c>
      <c r="C7" s="63"/>
      <c r="D7" s="63">
        <v>0.5</v>
      </c>
      <c r="E7" s="63">
        <v>3.5</v>
      </c>
      <c r="F7" s="63">
        <v>16.47</v>
      </c>
      <c r="G7" s="63">
        <v>38.72</v>
      </c>
      <c r="H7" s="14">
        <f t="shared" si="0"/>
        <v>35.22</v>
      </c>
      <c r="I7" s="14">
        <f t="shared" si="1"/>
        <v>22.25</v>
      </c>
    </row>
    <row r="8" spans="1:9" x14ac:dyDescent="0.3">
      <c r="A8" s="26" t="s">
        <v>1795</v>
      </c>
      <c r="B8" s="26" t="s">
        <v>1796</v>
      </c>
      <c r="C8" s="64">
        <v>14.59</v>
      </c>
      <c r="D8" s="64">
        <v>26.51</v>
      </c>
      <c r="E8" s="64">
        <v>26.74</v>
      </c>
      <c r="F8" s="64">
        <v>48.87</v>
      </c>
      <c r="G8" s="64">
        <v>64.819999999999993</v>
      </c>
      <c r="H8" s="19">
        <f t="shared" si="0"/>
        <v>38.08</v>
      </c>
      <c r="I8" s="19">
        <f t="shared" si="1"/>
        <v>15.949999999999996</v>
      </c>
    </row>
    <row r="9" spans="1:9" x14ac:dyDescent="0.3">
      <c r="A9" s="25" t="s">
        <v>1907</v>
      </c>
      <c r="B9" s="25" t="s">
        <v>1908</v>
      </c>
      <c r="C9" s="63">
        <v>1.24</v>
      </c>
      <c r="D9" s="63">
        <v>1.93</v>
      </c>
      <c r="E9" s="63">
        <v>4.12</v>
      </c>
      <c r="F9" s="63">
        <v>5.64</v>
      </c>
      <c r="G9" s="63">
        <v>5.82</v>
      </c>
      <c r="H9" s="14">
        <f t="shared" si="0"/>
        <v>1.7000000000000002</v>
      </c>
      <c r="I9" s="14">
        <f t="shared" si="1"/>
        <v>0.1800000000000006</v>
      </c>
    </row>
    <row r="10" spans="1:9" x14ac:dyDescent="0.3">
      <c r="A10" s="26" t="s">
        <v>1803</v>
      </c>
      <c r="B10" s="26" t="s">
        <v>1804</v>
      </c>
      <c r="C10" s="64"/>
      <c r="D10" s="64">
        <v>19.38</v>
      </c>
      <c r="E10" s="64">
        <v>22.74</v>
      </c>
      <c r="F10" s="64">
        <v>45.98</v>
      </c>
      <c r="G10" s="64">
        <v>62.38</v>
      </c>
      <c r="H10" s="19">
        <f t="shared" si="0"/>
        <v>39.64</v>
      </c>
      <c r="I10" s="19">
        <f t="shared" si="1"/>
        <v>16.400000000000006</v>
      </c>
    </row>
    <row r="11" spans="1:9" x14ac:dyDescent="0.3">
      <c r="A11" s="25" t="s">
        <v>1806</v>
      </c>
      <c r="B11" s="25" t="s">
        <v>1807</v>
      </c>
      <c r="C11" s="63"/>
      <c r="D11" s="63">
        <v>10.59</v>
      </c>
      <c r="E11" s="63">
        <v>16.100000000000001</v>
      </c>
      <c r="F11" s="63">
        <v>41.93</v>
      </c>
      <c r="G11" s="63">
        <v>56.47</v>
      </c>
      <c r="H11" s="14">
        <f t="shared" si="0"/>
        <v>40.369999999999997</v>
      </c>
      <c r="I11" s="14">
        <f t="shared" si="1"/>
        <v>14.54</v>
      </c>
    </row>
    <row r="12" spans="1:9" x14ac:dyDescent="0.3">
      <c r="A12" s="26" t="s">
        <v>1808</v>
      </c>
      <c r="B12" s="26" t="s">
        <v>1809</v>
      </c>
      <c r="C12" s="64"/>
      <c r="D12" s="64">
        <v>15.67</v>
      </c>
      <c r="E12" s="64">
        <v>14.92</v>
      </c>
      <c r="F12" s="64">
        <v>30.82</v>
      </c>
      <c r="G12" s="64">
        <v>48.05</v>
      </c>
      <c r="H12" s="19">
        <f t="shared" si="0"/>
        <v>33.129999999999995</v>
      </c>
      <c r="I12" s="19">
        <f t="shared" si="1"/>
        <v>17.229999999999997</v>
      </c>
    </row>
    <row r="13" spans="1:9" x14ac:dyDescent="0.3">
      <c r="A13" s="25" t="s">
        <v>1812</v>
      </c>
      <c r="B13" s="25" t="s">
        <v>1813</v>
      </c>
      <c r="C13" s="63"/>
      <c r="D13" s="63"/>
      <c r="E13" s="63"/>
      <c r="F13" s="63">
        <v>24.26</v>
      </c>
      <c r="G13" s="63">
        <v>51.13</v>
      </c>
      <c r="H13" s="14" t="str">
        <f t="shared" si="0"/>
        <v/>
      </c>
      <c r="I13" s="14">
        <f t="shared" si="1"/>
        <v>26.87</v>
      </c>
    </row>
    <row r="14" spans="1:9" x14ac:dyDescent="0.3">
      <c r="A14" s="26" t="s">
        <v>1814</v>
      </c>
      <c r="B14" s="26" t="s">
        <v>1956</v>
      </c>
      <c r="C14" s="64"/>
      <c r="D14" s="64"/>
      <c r="E14" s="64"/>
      <c r="F14" s="64">
        <v>21.17</v>
      </c>
      <c r="G14" s="64">
        <v>48.26</v>
      </c>
      <c r="H14" s="19" t="str">
        <f t="shared" si="0"/>
        <v/>
      </c>
      <c r="I14" s="19">
        <f t="shared" si="1"/>
        <v>27.089999999999996</v>
      </c>
    </row>
    <row r="15" spans="1:9" x14ac:dyDescent="0.3">
      <c r="A15" s="25" t="s">
        <v>1816</v>
      </c>
      <c r="B15" s="25" t="s">
        <v>1817</v>
      </c>
      <c r="C15" s="63"/>
      <c r="D15" s="63"/>
      <c r="E15" s="63">
        <v>6.53</v>
      </c>
      <c r="F15" s="63">
        <v>25.02</v>
      </c>
      <c r="G15" s="63">
        <v>45.5</v>
      </c>
      <c r="H15" s="14">
        <f t="shared" si="0"/>
        <v>38.97</v>
      </c>
      <c r="I15" s="14">
        <f t="shared" si="1"/>
        <v>20.48</v>
      </c>
    </row>
    <row r="16" spans="1:9" x14ac:dyDescent="0.3">
      <c r="A16" s="26" t="s">
        <v>1826</v>
      </c>
      <c r="B16" s="26" t="s">
        <v>1827</v>
      </c>
      <c r="C16" s="64"/>
      <c r="D16" s="64">
        <v>0.63</v>
      </c>
      <c r="E16" s="64">
        <v>3.35</v>
      </c>
      <c r="F16" s="64">
        <v>15.51</v>
      </c>
      <c r="G16" s="64">
        <v>32.700000000000003</v>
      </c>
      <c r="H16" s="19">
        <f t="shared" si="0"/>
        <v>29.35</v>
      </c>
      <c r="I16" s="19">
        <f t="shared" si="1"/>
        <v>17.190000000000005</v>
      </c>
    </row>
    <row r="17" spans="1:9" x14ac:dyDescent="0.3">
      <c r="A17" s="25" t="s">
        <v>1828</v>
      </c>
      <c r="B17" s="25" t="s">
        <v>1829</v>
      </c>
      <c r="C17" s="63"/>
      <c r="D17" s="63">
        <v>85.69</v>
      </c>
      <c r="E17" s="63">
        <v>69.13</v>
      </c>
      <c r="F17" s="63">
        <v>39.07</v>
      </c>
      <c r="G17" s="63">
        <v>25.06</v>
      </c>
      <c r="H17" s="14">
        <f t="shared" si="0"/>
        <v>-44.069999999999993</v>
      </c>
      <c r="I17" s="14">
        <f t="shared" si="1"/>
        <v>-14.010000000000002</v>
      </c>
    </row>
    <row r="18" spans="1:9" x14ac:dyDescent="0.3">
      <c r="A18" s="26" t="s">
        <v>1752</v>
      </c>
      <c r="B18" s="26" t="s">
        <v>1753</v>
      </c>
      <c r="C18" s="64"/>
      <c r="D18" s="64">
        <v>7.76</v>
      </c>
      <c r="E18" s="64">
        <v>10.43</v>
      </c>
      <c r="F18" s="64">
        <v>23.77</v>
      </c>
      <c r="G18" s="64">
        <v>36.99</v>
      </c>
      <c r="H18" s="19">
        <f t="shared" si="0"/>
        <v>26.560000000000002</v>
      </c>
      <c r="I18" s="19">
        <f t="shared" si="1"/>
        <v>13.220000000000002</v>
      </c>
    </row>
    <row r="19" spans="1:9" x14ac:dyDescent="0.3">
      <c r="A19" s="25" t="s">
        <v>1846</v>
      </c>
      <c r="B19" s="25" t="s">
        <v>1847</v>
      </c>
      <c r="C19" s="63"/>
      <c r="D19" s="63">
        <v>0</v>
      </c>
      <c r="E19" s="63">
        <v>0.56999999999999995</v>
      </c>
      <c r="F19" s="63">
        <v>4.71</v>
      </c>
      <c r="G19" s="63">
        <v>19.66</v>
      </c>
      <c r="H19" s="14">
        <f t="shared" si="0"/>
        <v>19.09</v>
      </c>
      <c r="I19" s="14">
        <f t="shared" si="1"/>
        <v>14.95</v>
      </c>
    </row>
    <row r="20" spans="1:9" x14ac:dyDescent="0.3">
      <c r="A20" s="26" t="s">
        <v>1830</v>
      </c>
      <c r="B20" s="26" t="s">
        <v>1831</v>
      </c>
      <c r="C20" s="64"/>
      <c r="D20" s="64">
        <v>63.3</v>
      </c>
      <c r="E20" s="64">
        <v>57.4</v>
      </c>
      <c r="F20" s="64">
        <v>52.4</v>
      </c>
      <c r="G20" s="64">
        <v>68.569999999999993</v>
      </c>
      <c r="H20" s="19">
        <f t="shared" si="0"/>
        <v>11.169999999999995</v>
      </c>
      <c r="I20" s="19">
        <f t="shared" si="1"/>
        <v>16.169999999999995</v>
      </c>
    </row>
    <row r="21" spans="1:9" x14ac:dyDescent="0.3">
      <c r="A21" s="25" t="s">
        <v>1729</v>
      </c>
      <c r="B21" s="25" t="s">
        <v>1730</v>
      </c>
      <c r="C21" s="63">
        <v>7.74</v>
      </c>
      <c r="D21" s="63">
        <v>14.61</v>
      </c>
      <c r="E21" s="63">
        <v>14.48</v>
      </c>
      <c r="F21" s="63">
        <v>19.86</v>
      </c>
      <c r="G21" s="63">
        <v>43.09</v>
      </c>
      <c r="H21" s="14">
        <f t="shared" si="0"/>
        <v>28.610000000000003</v>
      </c>
      <c r="I21" s="14">
        <f t="shared" si="1"/>
        <v>23.230000000000004</v>
      </c>
    </row>
    <row r="22" spans="1:9" x14ac:dyDescent="0.3">
      <c r="A22" s="26" t="s">
        <v>1833</v>
      </c>
      <c r="B22" s="26" t="s">
        <v>1834</v>
      </c>
      <c r="C22" s="64"/>
      <c r="D22" s="64"/>
      <c r="E22" s="64"/>
      <c r="F22" s="64">
        <v>4.5999999999999996</v>
      </c>
      <c r="G22" s="64">
        <v>10.06</v>
      </c>
      <c r="H22" s="19" t="str">
        <f t="shared" si="0"/>
        <v/>
      </c>
      <c r="I22" s="19">
        <f t="shared" si="1"/>
        <v>5.4600000000000009</v>
      </c>
    </row>
    <row r="23" spans="1:9" x14ac:dyDescent="0.3">
      <c r="A23" s="25" t="s">
        <v>1835</v>
      </c>
      <c r="B23" s="25" t="s">
        <v>1836</v>
      </c>
      <c r="C23" s="63"/>
      <c r="D23" s="63">
        <v>47.45</v>
      </c>
      <c r="E23" s="63">
        <v>49.02</v>
      </c>
      <c r="F23" s="63">
        <v>27.54</v>
      </c>
      <c r="G23" s="63">
        <v>43.2</v>
      </c>
      <c r="H23" s="14">
        <f t="shared" si="0"/>
        <v>-5.82</v>
      </c>
      <c r="I23" s="14">
        <f t="shared" si="1"/>
        <v>15.660000000000004</v>
      </c>
    </row>
    <row r="24" spans="1:9" x14ac:dyDescent="0.3">
      <c r="A24" s="26" t="s">
        <v>1905</v>
      </c>
      <c r="B24" s="26" t="s">
        <v>1906</v>
      </c>
      <c r="C24" s="64"/>
      <c r="D24" s="64">
        <v>19.5</v>
      </c>
      <c r="E24" s="64">
        <v>21.72</v>
      </c>
      <c r="F24" s="64">
        <v>10.02</v>
      </c>
      <c r="G24" s="64">
        <v>7.67</v>
      </c>
      <c r="H24" s="19">
        <f t="shared" si="0"/>
        <v>-14.049999999999999</v>
      </c>
      <c r="I24" s="19">
        <f t="shared" si="1"/>
        <v>-2.3499999999999996</v>
      </c>
    </row>
    <row r="25" spans="1:9" x14ac:dyDescent="0.3">
      <c r="A25" s="25" t="s">
        <v>1838</v>
      </c>
      <c r="B25" s="25" t="s">
        <v>1839</v>
      </c>
      <c r="C25" s="63"/>
      <c r="D25" s="63">
        <v>29.88</v>
      </c>
      <c r="E25" s="63">
        <v>29.54</v>
      </c>
      <c r="F25" s="63">
        <v>17.940000000000001</v>
      </c>
      <c r="G25" s="63">
        <v>33.590000000000003</v>
      </c>
      <c r="H25" s="14">
        <f t="shared" si="0"/>
        <v>4.0500000000000043</v>
      </c>
      <c r="I25" s="14">
        <f t="shared" si="1"/>
        <v>15.650000000000002</v>
      </c>
    </row>
    <row r="26" spans="1:9" x14ac:dyDescent="0.3">
      <c r="A26" s="26" t="s">
        <v>1909</v>
      </c>
      <c r="B26" s="26" t="s">
        <v>1910</v>
      </c>
      <c r="C26" s="64"/>
      <c r="D26" s="64">
        <v>7.12</v>
      </c>
      <c r="E26" s="64">
        <v>14.79</v>
      </c>
      <c r="F26" s="64"/>
      <c r="G26" s="64">
        <v>5.68</v>
      </c>
      <c r="H26" s="19">
        <f t="shared" si="0"/>
        <v>-9.11</v>
      </c>
      <c r="I26" s="19" t="str">
        <f t="shared" si="1"/>
        <v/>
      </c>
    </row>
    <row r="27" spans="1:9" x14ac:dyDescent="0.3">
      <c r="A27" s="25" t="s">
        <v>1913</v>
      </c>
      <c r="B27" s="25" t="s">
        <v>1914</v>
      </c>
      <c r="C27" s="63"/>
      <c r="D27" s="63">
        <v>7.72</v>
      </c>
      <c r="E27" s="63">
        <v>9.07</v>
      </c>
      <c r="F27" s="63">
        <v>3.88</v>
      </c>
      <c r="G27" s="63">
        <v>4.41</v>
      </c>
      <c r="H27" s="14">
        <f t="shared" si="0"/>
        <v>-4.66</v>
      </c>
      <c r="I27" s="14">
        <f t="shared" si="1"/>
        <v>0.53000000000000025</v>
      </c>
    </row>
    <row r="28" spans="1:9" x14ac:dyDescent="0.3">
      <c r="A28" s="26" t="s">
        <v>1889</v>
      </c>
      <c r="B28" s="26" t="s">
        <v>1890</v>
      </c>
      <c r="C28" s="64"/>
      <c r="D28" s="64">
        <v>4.75</v>
      </c>
      <c r="E28" s="64">
        <v>2.88</v>
      </c>
      <c r="F28" s="64">
        <v>4.32</v>
      </c>
      <c r="G28" s="64">
        <v>2.06</v>
      </c>
      <c r="H28" s="19">
        <f t="shared" si="0"/>
        <v>-0.81999999999999984</v>
      </c>
      <c r="I28" s="19">
        <f t="shared" si="1"/>
        <v>-2.2600000000000002</v>
      </c>
    </row>
    <row r="29" spans="1:9" x14ac:dyDescent="0.3">
      <c r="A29" s="25" t="s">
        <v>1848</v>
      </c>
      <c r="B29" s="25" t="s">
        <v>1849</v>
      </c>
      <c r="C29" s="63"/>
      <c r="D29" s="63">
        <v>28.46</v>
      </c>
      <c r="E29" s="63">
        <v>24.22</v>
      </c>
      <c r="F29" s="63">
        <v>16.34</v>
      </c>
      <c r="G29" s="63">
        <v>23.75</v>
      </c>
      <c r="H29" s="14">
        <f t="shared" si="0"/>
        <v>-0.46999999999999886</v>
      </c>
      <c r="I29" s="14">
        <f t="shared" si="1"/>
        <v>7.41</v>
      </c>
    </row>
    <row r="30" spans="1:9" x14ac:dyDescent="0.3">
      <c r="A30" s="26" t="s">
        <v>1850</v>
      </c>
      <c r="B30" s="26" t="s">
        <v>1957</v>
      </c>
      <c r="C30" s="64"/>
      <c r="D30" s="64">
        <v>28</v>
      </c>
      <c r="E30" s="64">
        <v>22.87</v>
      </c>
      <c r="F30" s="64">
        <v>14.38</v>
      </c>
      <c r="G30" s="64">
        <v>17.48</v>
      </c>
      <c r="H30" s="19">
        <f t="shared" si="0"/>
        <v>-5.3900000000000006</v>
      </c>
      <c r="I30" s="19">
        <f t="shared" si="1"/>
        <v>3.0999999999999996</v>
      </c>
    </row>
  </sheetData>
  <autoFilter ref="A4:I30" xr:uid="{00000000-0009-0000-0000-00000F000000}"/>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143"/>
  <sheetViews>
    <sheetView showGridLines="0" workbookViewId="0">
      <pane ySplit="4" topLeftCell="A5" activePane="bottomLeft" state="frozen"/>
      <selection pane="bottomLeft"/>
    </sheetView>
  </sheetViews>
  <sheetFormatPr defaultRowHeight="14" x14ac:dyDescent="0.3"/>
  <cols>
    <col min="1" max="1" width="18" customWidth="1"/>
    <col min="2" max="2" width="46" customWidth="1"/>
    <col min="3" max="3" width="30" customWidth="1"/>
    <col min="4" max="4" width="18" customWidth="1"/>
    <col min="5" max="5" width="34" customWidth="1"/>
  </cols>
  <sheetData>
    <row r="1" spans="1:5" ht="18" x14ac:dyDescent="0.4">
      <c r="A1" s="1" t="s">
        <v>1958</v>
      </c>
    </row>
    <row r="2" spans="1:5" x14ac:dyDescent="0.3">
      <c r="A2" s="8" t="s">
        <v>1959</v>
      </c>
    </row>
    <row r="4" spans="1:5" x14ac:dyDescent="0.3">
      <c r="A4" s="65" t="s">
        <v>1960</v>
      </c>
      <c r="B4" s="65" t="s">
        <v>1374</v>
      </c>
      <c r="C4" s="65" t="s">
        <v>122</v>
      </c>
      <c r="D4" s="65" t="s">
        <v>1961</v>
      </c>
      <c r="E4" s="65" t="s">
        <v>1224</v>
      </c>
    </row>
    <row r="5" spans="1:5" x14ac:dyDescent="0.3">
      <c r="A5" s="66" t="s">
        <v>1962</v>
      </c>
      <c r="B5" s="66" t="s">
        <v>1963</v>
      </c>
      <c r="C5" s="66" t="s">
        <v>1964</v>
      </c>
      <c r="D5" s="66" t="s">
        <v>69</v>
      </c>
      <c r="E5" s="66" t="s">
        <v>1965</v>
      </c>
    </row>
    <row r="6" spans="1:5" x14ac:dyDescent="0.3">
      <c r="A6" s="56" t="s">
        <v>1962</v>
      </c>
      <c r="B6" s="56" t="s">
        <v>1963</v>
      </c>
      <c r="C6" s="56" t="s">
        <v>1966</v>
      </c>
      <c r="D6" s="56" t="s">
        <v>68</v>
      </c>
      <c r="E6" s="56" t="s">
        <v>1965</v>
      </c>
    </row>
    <row r="7" spans="1:5" ht="25" x14ac:dyDescent="0.3">
      <c r="A7" s="54" t="s">
        <v>1962</v>
      </c>
      <c r="B7" s="54" t="s">
        <v>1963</v>
      </c>
      <c r="C7" s="54" t="s">
        <v>1967</v>
      </c>
      <c r="D7" s="54" t="s">
        <v>67</v>
      </c>
      <c r="E7" s="54" t="s">
        <v>1968</v>
      </c>
    </row>
    <row r="8" spans="1:5" x14ac:dyDescent="0.3">
      <c r="A8" s="56" t="s">
        <v>1962</v>
      </c>
      <c r="B8" s="56" t="s">
        <v>1969</v>
      </c>
      <c r="C8" s="56" t="s">
        <v>1970</v>
      </c>
      <c r="D8" s="56" t="s">
        <v>1971</v>
      </c>
      <c r="E8" s="56" t="s">
        <v>1972</v>
      </c>
    </row>
    <row r="9" spans="1:5" x14ac:dyDescent="0.3">
      <c r="A9" s="54" t="s">
        <v>1962</v>
      </c>
      <c r="B9" s="54" t="s">
        <v>1969</v>
      </c>
      <c r="C9" s="54" t="s">
        <v>1973</v>
      </c>
      <c r="D9" s="54" t="s">
        <v>1971</v>
      </c>
      <c r="E9" s="54" t="s">
        <v>1974</v>
      </c>
    </row>
    <row r="10" spans="1:5" x14ac:dyDescent="0.3">
      <c r="A10" s="56" t="s">
        <v>1962</v>
      </c>
      <c r="B10" s="56" t="s">
        <v>1969</v>
      </c>
      <c r="C10" s="56" t="s">
        <v>1975</v>
      </c>
      <c r="D10" s="56" t="s">
        <v>1971</v>
      </c>
      <c r="E10" s="56" t="s">
        <v>1976</v>
      </c>
    </row>
    <row r="11" spans="1:5" x14ac:dyDescent="0.3">
      <c r="A11" s="54" t="s">
        <v>1962</v>
      </c>
      <c r="B11" s="54" t="s">
        <v>1977</v>
      </c>
      <c r="C11" s="54" t="s">
        <v>1978</v>
      </c>
      <c r="D11" s="54" t="s">
        <v>1979</v>
      </c>
      <c r="E11" s="54" t="s">
        <v>1965</v>
      </c>
    </row>
    <row r="12" spans="1:5" x14ac:dyDescent="0.3">
      <c r="A12" s="56" t="s">
        <v>1962</v>
      </c>
      <c r="B12" s="56" t="s">
        <v>1980</v>
      </c>
      <c r="C12" s="56" t="s">
        <v>1981</v>
      </c>
      <c r="D12" s="56" t="s">
        <v>69</v>
      </c>
      <c r="E12" s="56" t="s">
        <v>1965</v>
      </c>
    </row>
    <row r="13" spans="1:5" x14ac:dyDescent="0.3">
      <c r="A13" s="54" t="s">
        <v>1962</v>
      </c>
      <c r="B13" s="54" t="s">
        <v>1982</v>
      </c>
      <c r="C13" s="54" t="s">
        <v>1983</v>
      </c>
      <c r="D13" s="54" t="s">
        <v>1979</v>
      </c>
      <c r="E13" s="54" t="s">
        <v>1965</v>
      </c>
    </row>
    <row r="14" spans="1:5" ht="25" x14ac:dyDescent="0.3">
      <c r="A14" s="56" t="s">
        <v>1962</v>
      </c>
      <c r="B14" s="56" t="s">
        <v>1984</v>
      </c>
      <c r="C14" s="56" t="s">
        <v>1985</v>
      </c>
      <c r="D14" s="56" t="s">
        <v>69</v>
      </c>
      <c r="E14" s="56" t="s">
        <v>1965</v>
      </c>
    </row>
    <row r="15" spans="1:5" x14ac:dyDescent="0.3">
      <c r="A15" s="54" t="s">
        <v>1962</v>
      </c>
      <c r="B15" s="54" t="s">
        <v>1986</v>
      </c>
      <c r="C15" s="54" t="s">
        <v>1987</v>
      </c>
      <c r="D15" s="54" t="s">
        <v>69</v>
      </c>
      <c r="E15" s="54" t="s">
        <v>1965</v>
      </c>
    </row>
    <row r="16" spans="1:5" x14ac:dyDescent="0.3">
      <c r="A16" s="56" t="s">
        <v>1962</v>
      </c>
      <c r="B16" s="56" t="s">
        <v>1988</v>
      </c>
      <c r="C16" s="56" t="s">
        <v>1989</v>
      </c>
      <c r="D16" s="56" t="s">
        <v>69</v>
      </c>
      <c r="E16" s="56" t="s">
        <v>1965</v>
      </c>
    </row>
    <row r="17" spans="1:5" x14ac:dyDescent="0.3">
      <c r="A17" s="54" t="s">
        <v>1962</v>
      </c>
      <c r="B17" s="54" t="s">
        <v>1990</v>
      </c>
      <c r="C17" s="54" t="s">
        <v>1991</v>
      </c>
      <c r="D17" s="54" t="s">
        <v>69</v>
      </c>
      <c r="E17" s="54" t="s">
        <v>1965</v>
      </c>
    </row>
    <row r="18" spans="1:5" x14ac:dyDescent="0.3">
      <c r="A18" s="56" t="s">
        <v>1962</v>
      </c>
      <c r="B18" s="56" t="s">
        <v>1992</v>
      </c>
      <c r="C18" s="56" t="s">
        <v>1993</v>
      </c>
      <c r="D18" s="56" t="s">
        <v>69</v>
      </c>
      <c r="E18" s="56" t="s">
        <v>1965</v>
      </c>
    </row>
    <row r="19" spans="1:5" x14ac:dyDescent="0.3">
      <c r="A19" s="54" t="s">
        <v>1962</v>
      </c>
      <c r="B19" s="54" t="s">
        <v>1994</v>
      </c>
      <c r="C19" s="54" t="s">
        <v>1995</v>
      </c>
      <c r="D19" s="54" t="s">
        <v>69</v>
      </c>
      <c r="E19" s="54" t="s">
        <v>1965</v>
      </c>
    </row>
    <row r="20" spans="1:5" x14ac:dyDescent="0.3">
      <c r="A20" s="56" t="s">
        <v>1962</v>
      </c>
      <c r="B20" s="56" t="s">
        <v>1996</v>
      </c>
      <c r="C20" s="56" t="s">
        <v>1997</v>
      </c>
      <c r="D20" s="56" t="s">
        <v>69</v>
      </c>
      <c r="E20" s="56" t="s">
        <v>1965</v>
      </c>
    </row>
    <row r="21" spans="1:5" x14ac:dyDescent="0.3">
      <c r="A21" s="54" t="s">
        <v>1962</v>
      </c>
      <c r="B21" s="54" t="s">
        <v>1998</v>
      </c>
      <c r="C21" s="54" t="s">
        <v>1999</v>
      </c>
      <c r="D21" s="54" t="s">
        <v>69</v>
      </c>
      <c r="E21" s="54" t="s">
        <v>1965</v>
      </c>
    </row>
    <row r="22" spans="1:5" x14ac:dyDescent="0.3">
      <c r="A22" s="56" t="s">
        <v>1962</v>
      </c>
      <c r="B22" s="56" t="s">
        <v>2000</v>
      </c>
      <c r="C22" s="56" t="s">
        <v>2001</v>
      </c>
      <c r="D22" s="56" t="s">
        <v>68</v>
      </c>
      <c r="E22" s="56" t="s">
        <v>1965</v>
      </c>
    </row>
    <row r="23" spans="1:5" x14ac:dyDescent="0.3">
      <c r="A23" s="54" t="s">
        <v>1962</v>
      </c>
      <c r="B23" s="54" t="s">
        <v>2002</v>
      </c>
      <c r="C23" s="54" t="s">
        <v>2003</v>
      </c>
      <c r="D23" s="54" t="s">
        <v>69</v>
      </c>
      <c r="E23" s="54" t="s">
        <v>1965</v>
      </c>
    </row>
    <row r="24" spans="1:5" x14ac:dyDescent="0.3">
      <c r="A24" s="56" t="s">
        <v>1962</v>
      </c>
      <c r="B24" s="56" t="s">
        <v>2004</v>
      </c>
      <c r="C24" s="56" t="s">
        <v>2005</v>
      </c>
      <c r="D24" s="56" t="s">
        <v>69</v>
      </c>
      <c r="E24" s="56" t="s">
        <v>1965</v>
      </c>
    </row>
    <row r="25" spans="1:5" x14ac:dyDescent="0.3">
      <c r="A25" s="54" t="s">
        <v>1962</v>
      </c>
      <c r="B25" s="54" t="s">
        <v>2006</v>
      </c>
      <c r="C25" s="54" t="s">
        <v>2007</v>
      </c>
      <c r="D25" s="54" t="s">
        <v>1345</v>
      </c>
      <c r="E25" s="54" t="s">
        <v>2008</v>
      </c>
    </row>
    <row r="26" spans="1:5" x14ac:dyDescent="0.3">
      <c r="A26" s="66" t="s">
        <v>2009</v>
      </c>
      <c r="B26" s="66" t="s">
        <v>2010</v>
      </c>
      <c r="C26" s="66" t="s">
        <v>2011</v>
      </c>
      <c r="D26" s="66" t="s">
        <v>2012</v>
      </c>
      <c r="E26" s="66" t="s">
        <v>2013</v>
      </c>
    </row>
    <row r="27" spans="1:5" x14ac:dyDescent="0.3">
      <c r="A27" s="54" t="s">
        <v>2009</v>
      </c>
      <c r="B27" s="54" t="s">
        <v>2014</v>
      </c>
      <c r="C27" s="54" t="s">
        <v>2015</v>
      </c>
      <c r="D27" s="54" t="s">
        <v>2012</v>
      </c>
      <c r="E27" s="54" t="s">
        <v>2016</v>
      </c>
    </row>
    <row r="28" spans="1:5" x14ac:dyDescent="0.3">
      <c r="A28" s="56" t="s">
        <v>2009</v>
      </c>
      <c r="B28" s="56" t="s">
        <v>2017</v>
      </c>
      <c r="C28" s="56" t="s">
        <v>2018</v>
      </c>
      <c r="D28" s="56" t="s">
        <v>66</v>
      </c>
      <c r="E28" s="56" t="s">
        <v>2019</v>
      </c>
    </row>
    <row r="29" spans="1:5" x14ac:dyDescent="0.3">
      <c r="A29" s="54" t="s">
        <v>2009</v>
      </c>
      <c r="B29" s="54" t="s">
        <v>2020</v>
      </c>
      <c r="C29" s="54" t="s">
        <v>2021</v>
      </c>
      <c r="D29" s="54" t="s">
        <v>66</v>
      </c>
      <c r="E29" s="54" t="s">
        <v>2022</v>
      </c>
    </row>
    <row r="30" spans="1:5" x14ac:dyDescent="0.3">
      <c r="A30" s="56" t="s">
        <v>2009</v>
      </c>
      <c r="B30" s="56" t="s">
        <v>2023</v>
      </c>
      <c r="C30" s="56" t="s">
        <v>2024</v>
      </c>
      <c r="D30" s="56" t="s">
        <v>1344</v>
      </c>
      <c r="E30" s="56" t="s">
        <v>2022</v>
      </c>
    </row>
    <row r="31" spans="1:5" x14ac:dyDescent="0.3">
      <c r="A31" s="54" t="s">
        <v>2009</v>
      </c>
      <c r="B31" s="54" t="s">
        <v>2025</v>
      </c>
      <c r="C31" s="54" t="s">
        <v>2026</v>
      </c>
      <c r="D31" s="54" t="s">
        <v>66</v>
      </c>
      <c r="E31" s="54" t="s">
        <v>2022</v>
      </c>
    </row>
    <row r="32" spans="1:5" x14ac:dyDescent="0.3">
      <c r="A32" s="56" t="s">
        <v>2009</v>
      </c>
      <c r="B32" s="56" t="s">
        <v>2027</v>
      </c>
      <c r="C32" s="56" t="s">
        <v>2028</v>
      </c>
      <c r="D32" s="56" t="s">
        <v>1971</v>
      </c>
      <c r="E32" s="56" t="s">
        <v>2022</v>
      </c>
    </row>
    <row r="33" spans="1:5" x14ac:dyDescent="0.3">
      <c r="A33" s="54" t="s">
        <v>2009</v>
      </c>
      <c r="B33" s="54" t="s">
        <v>2029</v>
      </c>
      <c r="C33" s="54" t="s">
        <v>2030</v>
      </c>
      <c r="D33" s="54" t="s">
        <v>66</v>
      </c>
      <c r="E33" s="54" t="s">
        <v>2022</v>
      </c>
    </row>
    <row r="34" spans="1:5" x14ac:dyDescent="0.3">
      <c r="A34" s="56" t="s">
        <v>2009</v>
      </c>
      <c r="B34" s="56" t="s">
        <v>2031</v>
      </c>
      <c r="C34" s="56" t="s">
        <v>2032</v>
      </c>
      <c r="D34" s="56" t="s">
        <v>66</v>
      </c>
      <c r="E34" s="56" t="s">
        <v>2022</v>
      </c>
    </row>
    <row r="35" spans="1:5" x14ac:dyDescent="0.3">
      <c r="A35" s="54" t="s">
        <v>2009</v>
      </c>
      <c r="B35" s="54" t="s">
        <v>2033</v>
      </c>
      <c r="C35" s="54" t="s">
        <v>2034</v>
      </c>
      <c r="D35" s="54" t="s">
        <v>66</v>
      </c>
      <c r="E35" s="54" t="s">
        <v>2022</v>
      </c>
    </row>
    <row r="36" spans="1:5" x14ac:dyDescent="0.3">
      <c r="A36" s="56" t="s">
        <v>2009</v>
      </c>
      <c r="B36" s="56" t="s">
        <v>2035</v>
      </c>
      <c r="C36" s="56" t="s">
        <v>2036</v>
      </c>
      <c r="D36" s="56" t="s">
        <v>66</v>
      </c>
      <c r="E36" s="56" t="s">
        <v>2022</v>
      </c>
    </row>
    <row r="37" spans="1:5" x14ac:dyDescent="0.3">
      <c r="A37" s="54" t="s">
        <v>2009</v>
      </c>
      <c r="B37" s="54" t="s">
        <v>2037</v>
      </c>
      <c r="C37" s="54" t="s">
        <v>2038</v>
      </c>
      <c r="D37" s="54" t="s">
        <v>66</v>
      </c>
      <c r="E37" s="54" t="s">
        <v>2022</v>
      </c>
    </row>
    <row r="38" spans="1:5" x14ac:dyDescent="0.3">
      <c r="A38" s="56" t="s">
        <v>2009</v>
      </c>
      <c r="B38" s="56" t="s">
        <v>2039</v>
      </c>
      <c r="C38" s="56" t="s">
        <v>2040</v>
      </c>
      <c r="D38" s="56" t="s">
        <v>66</v>
      </c>
      <c r="E38" s="56" t="s">
        <v>2022</v>
      </c>
    </row>
    <row r="39" spans="1:5" x14ac:dyDescent="0.3">
      <c r="A39" s="54" t="s">
        <v>2009</v>
      </c>
      <c r="B39" s="54" t="s">
        <v>2041</v>
      </c>
      <c r="C39" s="54" t="s">
        <v>2042</v>
      </c>
      <c r="D39" s="54" t="s">
        <v>66</v>
      </c>
      <c r="E39" s="54" t="s">
        <v>2022</v>
      </c>
    </row>
    <row r="40" spans="1:5" x14ac:dyDescent="0.3">
      <c r="A40" s="56" t="s">
        <v>2009</v>
      </c>
      <c r="B40" s="56" t="s">
        <v>2043</v>
      </c>
      <c r="C40" s="56" t="s">
        <v>2044</v>
      </c>
      <c r="D40" s="56" t="s">
        <v>66</v>
      </c>
      <c r="E40" s="56" t="s">
        <v>2045</v>
      </c>
    </row>
    <row r="41" spans="1:5" x14ac:dyDescent="0.3">
      <c r="A41" s="54" t="s">
        <v>2009</v>
      </c>
      <c r="B41" s="54" t="s">
        <v>2046</v>
      </c>
      <c r="C41" s="54" t="s">
        <v>2047</v>
      </c>
      <c r="D41" s="54" t="s">
        <v>66</v>
      </c>
      <c r="E41" s="54" t="s">
        <v>2022</v>
      </c>
    </row>
    <row r="42" spans="1:5" x14ac:dyDescent="0.3">
      <c r="A42" s="56" t="s">
        <v>2009</v>
      </c>
      <c r="B42" s="56" t="s">
        <v>2048</v>
      </c>
      <c r="C42" s="56" t="s">
        <v>2049</v>
      </c>
      <c r="D42" s="56" t="s">
        <v>2050</v>
      </c>
      <c r="E42" s="56" t="s">
        <v>2022</v>
      </c>
    </row>
    <row r="43" spans="1:5" x14ac:dyDescent="0.3">
      <c r="A43" s="54" t="s">
        <v>2009</v>
      </c>
      <c r="B43" s="54" t="s">
        <v>2051</v>
      </c>
      <c r="C43" s="54" t="s">
        <v>2052</v>
      </c>
      <c r="D43" s="54" t="s">
        <v>66</v>
      </c>
      <c r="E43" s="54" t="s">
        <v>2022</v>
      </c>
    </row>
    <row r="44" spans="1:5" x14ac:dyDescent="0.3">
      <c r="A44" s="56" t="s">
        <v>2009</v>
      </c>
      <c r="B44" s="56" t="s">
        <v>2053</v>
      </c>
      <c r="C44" s="56" t="s">
        <v>2054</v>
      </c>
      <c r="D44" s="56" t="s">
        <v>66</v>
      </c>
      <c r="E44" s="56" t="s">
        <v>2022</v>
      </c>
    </row>
    <row r="45" spans="1:5" x14ac:dyDescent="0.3">
      <c r="A45" s="54" t="s">
        <v>2009</v>
      </c>
      <c r="B45" s="54" t="s">
        <v>2055</v>
      </c>
      <c r="C45" s="54" t="s">
        <v>2056</v>
      </c>
      <c r="D45" s="54" t="s">
        <v>66</v>
      </c>
      <c r="E45" s="54" t="s">
        <v>2022</v>
      </c>
    </row>
    <row r="46" spans="1:5" x14ac:dyDescent="0.3">
      <c r="A46" s="56" t="s">
        <v>2009</v>
      </c>
      <c r="B46" s="56" t="s">
        <v>2057</v>
      </c>
      <c r="C46" s="56" t="s">
        <v>2058</v>
      </c>
      <c r="D46" s="56" t="s">
        <v>66</v>
      </c>
      <c r="E46" s="56" t="s">
        <v>2022</v>
      </c>
    </row>
    <row r="47" spans="1:5" x14ac:dyDescent="0.3">
      <c r="A47" s="54" t="s">
        <v>2009</v>
      </c>
      <c r="B47" s="54" t="s">
        <v>2059</v>
      </c>
      <c r="C47" s="54" t="s">
        <v>2060</v>
      </c>
      <c r="D47" s="54" t="s">
        <v>66</v>
      </c>
      <c r="E47" s="54" t="s">
        <v>2022</v>
      </c>
    </row>
    <row r="48" spans="1:5" x14ac:dyDescent="0.3">
      <c r="A48" s="56" t="s">
        <v>2009</v>
      </c>
      <c r="B48" s="56" t="s">
        <v>2061</v>
      </c>
      <c r="C48" s="56" t="s">
        <v>2062</v>
      </c>
      <c r="D48" s="56" t="s">
        <v>66</v>
      </c>
      <c r="E48" s="56" t="s">
        <v>2022</v>
      </c>
    </row>
    <row r="49" spans="1:5" x14ac:dyDescent="0.3">
      <c r="A49" s="54" t="s">
        <v>2009</v>
      </c>
      <c r="B49" s="54" t="s">
        <v>2063</v>
      </c>
      <c r="C49" s="54" t="s">
        <v>2064</v>
      </c>
      <c r="D49" s="54" t="s">
        <v>2065</v>
      </c>
      <c r="E49" s="54" t="s">
        <v>2066</v>
      </c>
    </row>
    <row r="50" spans="1:5" ht="25" x14ac:dyDescent="0.3">
      <c r="A50" s="56" t="s">
        <v>2009</v>
      </c>
      <c r="B50" s="56" t="s">
        <v>2067</v>
      </c>
      <c r="C50" s="56" t="s">
        <v>2068</v>
      </c>
      <c r="D50" s="56" t="s">
        <v>2012</v>
      </c>
      <c r="E50" s="56" t="s">
        <v>2069</v>
      </c>
    </row>
    <row r="51" spans="1:5" x14ac:dyDescent="0.3">
      <c r="A51" s="54" t="s">
        <v>2009</v>
      </c>
      <c r="B51" s="54" t="s">
        <v>2070</v>
      </c>
      <c r="C51" s="54" t="s">
        <v>2071</v>
      </c>
      <c r="D51" s="54" t="s">
        <v>2012</v>
      </c>
      <c r="E51" s="54" t="s">
        <v>2069</v>
      </c>
    </row>
    <row r="52" spans="1:5" x14ac:dyDescent="0.3">
      <c r="A52" s="56" t="s">
        <v>2009</v>
      </c>
      <c r="B52" s="56" t="s">
        <v>2072</v>
      </c>
      <c r="C52" s="56" t="s">
        <v>2073</v>
      </c>
      <c r="D52" s="56" t="s">
        <v>2012</v>
      </c>
      <c r="E52" s="56" t="s">
        <v>2069</v>
      </c>
    </row>
    <row r="53" spans="1:5" x14ac:dyDescent="0.3">
      <c r="A53" s="54" t="s">
        <v>2009</v>
      </c>
      <c r="B53" s="54" t="s">
        <v>2074</v>
      </c>
      <c r="C53" s="54" t="s">
        <v>2075</v>
      </c>
      <c r="D53" s="54" t="s">
        <v>2012</v>
      </c>
      <c r="E53" s="54" t="s">
        <v>2069</v>
      </c>
    </row>
    <row r="54" spans="1:5" x14ac:dyDescent="0.3">
      <c r="A54" s="56" t="s">
        <v>2009</v>
      </c>
      <c r="B54" s="56" t="s">
        <v>2076</v>
      </c>
      <c r="C54" s="56" t="s">
        <v>2077</v>
      </c>
      <c r="D54" s="56" t="s">
        <v>2012</v>
      </c>
      <c r="E54" s="56" t="s">
        <v>2069</v>
      </c>
    </row>
    <row r="55" spans="1:5" x14ac:dyDescent="0.3">
      <c r="A55" s="54" t="s">
        <v>2009</v>
      </c>
      <c r="B55" s="54" t="s">
        <v>2078</v>
      </c>
      <c r="C55" s="54" t="s">
        <v>2079</v>
      </c>
      <c r="D55" s="54" t="s">
        <v>2012</v>
      </c>
      <c r="E55" s="54" t="s">
        <v>2069</v>
      </c>
    </row>
    <row r="56" spans="1:5" x14ac:dyDescent="0.3">
      <c r="A56" s="56" t="s">
        <v>2009</v>
      </c>
      <c r="B56" s="56" t="s">
        <v>2080</v>
      </c>
      <c r="C56" s="56" t="s">
        <v>2081</v>
      </c>
      <c r="D56" s="56" t="s">
        <v>2012</v>
      </c>
      <c r="E56" s="56" t="s">
        <v>2082</v>
      </c>
    </row>
    <row r="57" spans="1:5" x14ac:dyDescent="0.3">
      <c r="A57" s="54" t="s">
        <v>2009</v>
      </c>
      <c r="B57" s="54" t="s">
        <v>2083</v>
      </c>
      <c r="C57" s="54" t="s">
        <v>2084</v>
      </c>
      <c r="D57" s="54" t="s">
        <v>66</v>
      </c>
      <c r="E57" s="54" t="s">
        <v>2082</v>
      </c>
    </row>
    <row r="58" spans="1:5" x14ac:dyDescent="0.3">
      <c r="A58" s="56" t="s">
        <v>2009</v>
      </c>
      <c r="B58" s="56" t="s">
        <v>2085</v>
      </c>
      <c r="C58" s="56" t="s">
        <v>2086</v>
      </c>
      <c r="D58" s="56" t="s">
        <v>66</v>
      </c>
      <c r="E58" s="56" t="s">
        <v>2082</v>
      </c>
    </row>
    <row r="59" spans="1:5" x14ac:dyDescent="0.3">
      <c r="A59" s="54" t="s">
        <v>2009</v>
      </c>
      <c r="B59" s="54" t="s">
        <v>2087</v>
      </c>
      <c r="C59" s="54" t="s">
        <v>2088</v>
      </c>
      <c r="D59" s="54" t="s">
        <v>2089</v>
      </c>
      <c r="E59" s="54" t="s">
        <v>2082</v>
      </c>
    </row>
    <row r="60" spans="1:5" x14ac:dyDescent="0.3">
      <c r="A60" s="56" t="s">
        <v>2009</v>
      </c>
      <c r="B60" s="56" t="s">
        <v>2090</v>
      </c>
      <c r="C60" s="56" t="s">
        <v>2091</v>
      </c>
      <c r="D60" s="56" t="s">
        <v>1344</v>
      </c>
      <c r="E60" s="56" t="s">
        <v>2082</v>
      </c>
    </row>
    <row r="61" spans="1:5" x14ac:dyDescent="0.3">
      <c r="A61" s="54" t="s">
        <v>2009</v>
      </c>
      <c r="B61" s="54" t="s">
        <v>2092</v>
      </c>
      <c r="C61" s="54" t="s">
        <v>2093</v>
      </c>
      <c r="D61" s="54" t="s">
        <v>1344</v>
      </c>
      <c r="E61" s="54" t="s">
        <v>2082</v>
      </c>
    </row>
    <row r="62" spans="1:5" ht="37.5" x14ac:dyDescent="0.3">
      <c r="A62" s="56" t="s">
        <v>2009</v>
      </c>
      <c r="B62" s="56" t="s">
        <v>2094</v>
      </c>
      <c r="C62" s="56" t="s">
        <v>2095</v>
      </c>
      <c r="D62" s="56" t="s">
        <v>1971</v>
      </c>
      <c r="E62" s="56" t="s">
        <v>2082</v>
      </c>
    </row>
    <row r="63" spans="1:5" x14ac:dyDescent="0.3">
      <c r="A63" s="54" t="s">
        <v>2009</v>
      </c>
      <c r="B63" s="54" t="s">
        <v>2096</v>
      </c>
      <c r="C63" s="54" t="s">
        <v>2097</v>
      </c>
      <c r="D63" s="54" t="s">
        <v>1345</v>
      </c>
      <c r="E63" s="54" t="s">
        <v>2098</v>
      </c>
    </row>
    <row r="64" spans="1:5" x14ac:dyDescent="0.3">
      <c r="A64" s="56" t="s">
        <v>2009</v>
      </c>
      <c r="B64" s="56" t="s">
        <v>2099</v>
      </c>
      <c r="C64" s="56" t="s">
        <v>2100</v>
      </c>
      <c r="D64" s="56" t="s">
        <v>2101</v>
      </c>
      <c r="E64" s="56" t="s">
        <v>2102</v>
      </c>
    </row>
    <row r="65" spans="1:5" x14ac:dyDescent="0.3">
      <c r="A65" s="54" t="s">
        <v>2009</v>
      </c>
      <c r="B65" s="54" t="s">
        <v>2103</v>
      </c>
      <c r="C65" s="54" t="s">
        <v>2104</v>
      </c>
      <c r="D65" s="54" t="s">
        <v>66</v>
      </c>
      <c r="E65" s="54" t="s">
        <v>2105</v>
      </c>
    </row>
    <row r="66" spans="1:5" x14ac:dyDescent="0.3">
      <c r="A66" s="56" t="s">
        <v>2009</v>
      </c>
      <c r="B66" s="56" t="s">
        <v>2106</v>
      </c>
      <c r="C66" s="56" t="s">
        <v>2107</v>
      </c>
      <c r="D66" s="56" t="s">
        <v>66</v>
      </c>
      <c r="E66" s="56" t="s">
        <v>2105</v>
      </c>
    </row>
    <row r="67" spans="1:5" ht="25" x14ac:dyDescent="0.3">
      <c r="A67" s="54" t="s">
        <v>2009</v>
      </c>
      <c r="B67" s="54" t="s">
        <v>2108</v>
      </c>
      <c r="C67" s="54" t="s">
        <v>2109</v>
      </c>
      <c r="D67" s="54" t="s">
        <v>66</v>
      </c>
      <c r="E67" s="54" t="s">
        <v>2105</v>
      </c>
    </row>
    <row r="68" spans="1:5" ht="37.5" x14ac:dyDescent="0.3">
      <c r="A68" s="56" t="s">
        <v>2009</v>
      </c>
      <c r="B68" s="56" t="s">
        <v>2110</v>
      </c>
      <c r="C68" s="56" t="s">
        <v>2111</v>
      </c>
      <c r="D68" s="56" t="s">
        <v>66</v>
      </c>
      <c r="E68" s="56" t="s">
        <v>2105</v>
      </c>
    </row>
    <row r="69" spans="1:5" x14ac:dyDescent="0.3">
      <c r="A69" s="54" t="s">
        <v>2009</v>
      </c>
      <c r="B69" s="54" t="s">
        <v>2112</v>
      </c>
      <c r="C69" s="54" t="s">
        <v>2113</v>
      </c>
      <c r="D69" s="54" t="s">
        <v>69</v>
      </c>
      <c r="E69" s="54" t="s">
        <v>2114</v>
      </c>
    </row>
    <row r="70" spans="1:5" x14ac:dyDescent="0.3">
      <c r="A70" s="56" t="s">
        <v>2009</v>
      </c>
      <c r="B70" s="56" t="s">
        <v>2115</v>
      </c>
      <c r="C70" s="56" t="s">
        <v>2116</v>
      </c>
      <c r="D70" s="56" t="s">
        <v>1340</v>
      </c>
      <c r="E70" s="56" t="s">
        <v>2102</v>
      </c>
    </row>
    <row r="71" spans="1:5" ht="25" x14ac:dyDescent="0.3">
      <c r="A71" s="54" t="s">
        <v>2009</v>
      </c>
      <c r="B71" s="54" t="s">
        <v>2117</v>
      </c>
      <c r="C71" s="54" t="s">
        <v>2118</v>
      </c>
      <c r="D71" s="54" t="s">
        <v>2089</v>
      </c>
      <c r="E71" s="54" t="s">
        <v>2119</v>
      </c>
    </row>
    <row r="72" spans="1:5" ht="37.5" x14ac:dyDescent="0.3">
      <c r="A72" s="56" t="s">
        <v>2009</v>
      </c>
      <c r="B72" s="56" t="s">
        <v>2120</v>
      </c>
      <c r="C72" s="56" t="s">
        <v>2121</v>
      </c>
      <c r="D72" s="56" t="s">
        <v>1343</v>
      </c>
      <c r="E72" s="56" t="s">
        <v>2119</v>
      </c>
    </row>
    <row r="73" spans="1:5" ht="25" x14ac:dyDescent="0.3">
      <c r="A73" s="54" t="s">
        <v>2009</v>
      </c>
      <c r="B73" s="54" t="s">
        <v>2122</v>
      </c>
      <c r="C73" s="54" t="s">
        <v>2123</v>
      </c>
      <c r="D73" s="54" t="s">
        <v>2089</v>
      </c>
      <c r="E73" s="54" t="s">
        <v>2119</v>
      </c>
    </row>
    <row r="74" spans="1:5" ht="37.5" x14ac:dyDescent="0.3">
      <c r="A74" s="66" t="s">
        <v>2124</v>
      </c>
      <c r="B74" s="66" t="s">
        <v>2125</v>
      </c>
      <c r="C74" s="66" t="s">
        <v>2126</v>
      </c>
      <c r="D74" s="66" t="s">
        <v>69</v>
      </c>
      <c r="E74" s="66" t="s">
        <v>2127</v>
      </c>
    </row>
    <row r="75" spans="1:5" ht="25" x14ac:dyDescent="0.3">
      <c r="A75" s="54" t="s">
        <v>2124</v>
      </c>
      <c r="B75" s="54" t="s">
        <v>2128</v>
      </c>
      <c r="C75" s="54" t="s">
        <v>2129</v>
      </c>
      <c r="D75" s="54" t="s">
        <v>69</v>
      </c>
      <c r="E75" s="54" t="s">
        <v>2127</v>
      </c>
    </row>
    <row r="76" spans="1:5" x14ac:dyDescent="0.3">
      <c r="A76" s="56" t="s">
        <v>2124</v>
      </c>
      <c r="B76" s="56" t="s">
        <v>2125</v>
      </c>
      <c r="C76" s="56" t="s">
        <v>2130</v>
      </c>
      <c r="D76" s="56" t="s">
        <v>2131</v>
      </c>
      <c r="E76" s="56" t="s">
        <v>2127</v>
      </c>
    </row>
    <row r="77" spans="1:5" x14ac:dyDescent="0.3">
      <c r="A77" s="54" t="s">
        <v>2124</v>
      </c>
      <c r="B77" s="54" t="s">
        <v>2132</v>
      </c>
      <c r="C77" s="54" t="s">
        <v>2133</v>
      </c>
      <c r="D77" s="54" t="s">
        <v>2131</v>
      </c>
      <c r="E77" s="54" t="s">
        <v>2127</v>
      </c>
    </row>
    <row r="78" spans="1:5" x14ac:dyDescent="0.3">
      <c r="A78" s="56" t="s">
        <v>2124</v>
      </c>
      <c r="B78" s="56" t="s">
        <v>2134</v>
      </c>
      <c r="C78" s="56" t="s">
        <v>2135</v>
      </c>
      <c r="D78" s="56" t="s">
        <v>2131</v>
      </c>
      <c r="E78" s="56" t="s">
        <v>2127</v>
      </c>
    </row>
    <row r="79" spans="1:5" x14ac:dyDescent="0.3">
      <c r="A79" s="54" t="s">
        <v>2124</v>
      </c>
      <c r="B79" s="54" t="s">
        <v>2136</v>
      </c>
      <c r="C79" s="54" t="s">
        <v>2137</v>
      </c>
      <c r="D79" s="54" t="s">
        <v>2131</v>
      </c>
      <c r="E79" s="54" t="s">
        <v>2127</v>
      </c>
    </row>
    <row r="80" spans="1:5" x14ac:dyDescent="0.3">
      <c r="A80" s="56" t="s">
        <v>2124</v>
      </c>
      <c r="B80" s="56" t="s">
        <v>2138</v>
      </c>
      <c r="C80" s="56" t="s">
        <v>2139</v>
      </c>
      <c r="D80" s="56" t="s">
        <v>2131</v>
      </c>
      <c r="E80" s="56" t="s">
        <v>2127</v>
      </c>
    </row>
    <row r="81" spans="1:5" x14ac:dyDescent="0.3">
      <c r="A81" s="54" t="s">
        <v>2124</v>
      </c>
      <c r="B81" s="54" t="s">
        <v>2140</v>
      </c>
      <c r="C81" s="54" t="s">
        <v>2141</v>
      </c>
      <c r="D81" s="54" t="s">
        <v>2142</v>
      </c>
      <c r="E81" s="54" t="s">
        <v>2127</v>
      </c>
    </row>
    <row r="82" spans="1:5" x14ac:dyDescent="0.3">
      <c r="A82" s="56" t="s">
        <v>2124</v>
      </c>
      <c r="B82" s="56" t="s">
        <v>2143</v>
      </c>
      <c r="C82" s="56" t="s">
        <v>2144</v>
      </c>
      <c r="D82" s="56" t="s">
        <v>1344</v>
      </c>
      <c r="E82" s="56" t="s">
        <v>2127</v>
      </c>
    </row>
    <row r="83" spans="1:5" x14ac:dyDescent="0.3">
      <c r="A83" s="54" t="s">
        <v>2124</v>
      </c>
      <c r="B83" s="54" t="s">
        <v>2145</v>
      </c>
      <c r="C83" s="54" t="s">
        <v>2146</v>
      </c>
      <c r="D83" s="54" t="s">
        <v>1344</v>
      </c>
      <c r="E83" s="54" t="s">
        <v>2127</v>
      </c>
    </row>
    <row r="84" spans="1:5" x14ac:dyDescent="0.3">
      <c r="A84" s="56" t="s">
        <v>2124</v>
      </c>
      <c r="B84" s="56" t="s">
        <v>2147</v>
      </c>
      <c r="C84" s="56" t="s">
        <v>2148</v>
      </c>
      <c r="D84" s="56" t="s">
        <v>69</v>
      </c>
      <c r="E84" s="56" t="s">
        <v>2127</v>
      </c>
    </row>
    <row r="85" spans="1:5" x14ac:dyDescent="0.3">
      <c r="A85" s="54" t="s">
        <v>2124</v>
      </c>
      <c r="B85" s="54" t="s">
        <v>2149</v>
      </c>
      <c r="C85" s="54" t="s">
        <v>2150</v>
      </c>
      <c r="D85" s="54" t="s">
        <v>2151</v>
      </c>
      <c r="E85" s="54" t="s">
        <v>2152</v>
      </c>
    </row>
    <row r="86" spans="1:5" ht="37.5" x14ac:dyDescent="0.3">
      <c r="A86" s="56" t="s">
        <v>2124</v>
      </c>
      <c r="B86" s="56" t="s">
        <v>2153</v>
      </c>
      <c r="C86" s="56" t="s">
        <v>2154</v>
      </c>
      <c r="D86" s="56" t="s">
        <v>2155</v>
      </c>
      <c r="E86" s="56" t="s">
        <v>2127</v>
      </c>
    </row>
    <row r="87" spans="1:5" ht="37.5" x14ac:dyDescent="0.3">
      <c r="A87" s="54" t="s">
        <v>2124</v>
      </c>
      <c r="B87" s="54" t="s">
        <v>2156</v>
      </c>
      <c r="C87" s="54" t="s">
        <v>2157</v>
      </c>
      <c r="D87" s="54" t="s">
        <v>2158</v>
      </c>
      <c r="E87" s="54" t="s">
        <v>2127</v>
      </c>
    </row>
    <row r="88" spans="1:5" ht="25" x14ac:dyDescent="0.3">
      <c r="A88" s="56" t="s">
        <v>2124</v>
      </c>
      <c r="B88" s="56" t="s">
        <v>2159</v>
      </c>
      <c r="C88" s="56" t="s">
        <v>2160</v>
      </c>
      <c r="D88" s="56" t="s">
        <v>1344</v>
      </c>
      <c r="E88" s="56" t="s">
        <v>2127</v>
      </c>
    </row>
    <row r="89" spans="1:5" ht="25" x14ac:dyDescent="0.3">
      <c r="A89" s="54" t="s">
        <v>2124</v>
      </c>
      <c r="B89" s="54" t="s">
        <v>2161</v>
      </c>
      <c r="C89" s="54" t="s">
        <v>2162</v>
      </c>
      <c r="D89" s="54" t="s">
        <v>1344</v>
      </c>
      <c r="E89" s="54" t="s">
        <v>2127</v>
      </c>
    </row>
    <row r="90" spans="1:5" ht="25" x14ac:dyDescent="0.3">
      <c r="A90" s="66" t="s">
        <v>2163</v>
      </c>
      <c r="B90" s="66" t="s">
        <v>2164</v>
      </c>
      <c r="C90" s="66" t="s">
        <v>2165</v>
      </c>
      <c r="D90" s="66" t="s">
        <v>2166</v>
      </c>
      <c r="E90" s="66" t="s">
        <v>1965</v>
      </c>
    </row>
    <row r="91" spans="1:5" x14ac:dyDescent="0.3">
      <c r="A91" s="54" t="s">
        <v>2163</v>
      </c>
      <c r="B91" s="54" t="s">
        <v>2167</v>
      </c>
      <c r="C91" s="54" t="s">
        <v>2168</v>
      </c>
      <c r="D91" s="54" t="s">
        <v>2166</v>
      </c>
      <c r="E91" s="54" t="s">
        <v>1965</v>
      </c>
    </row>
    <row r="92" spans="1:5" x14ac:dyDescent="0.3">
      <c r="A92" s="56" t="s">
        <v>2163</v>
      </c>
      <c r="B92" s="56" t="s">
        <v>2169</v>
      </c>
      <c r="C92" s="56" t="s">
        <v>2170</v>
      </c>
      <c r="D92" s="56" t="s">
        <v>2166</v>
      </c>
      <c r="E92" s="56" t="s">
        <v>1965</v>
      </c>
    </row>
    <row r="93" spans="1:5" x14ac:dyDescent="0.3">
      <c r="A93" s="54" t="s">
        <v>2163</v>
      </c>
      <c r="B93" s="54" t="s">
        <v>2171</v>
      </c>
      <c r="C93" s="54" t="s">
        <v>2172</v>
      </c>
      <c r="D93" s="54" t="s">
        <v>2166</v>
      </c>
      <c r="E93" s="54" t="s">
        <v>1965</v>
      </c>
    </row>
    <row r="94" spans="1:5" x14ac:dyDescent="0.3">
      <c r="A94" s="56" t="s">
        <v>2163</v>
      </c>
      <c r="B94" s="56" t="s">
        <v>2173</v>
      </c>
      <c r="C94" s="56" t="s">
        <v>2174</v>
      </c>
      <c r="D94" s="56" t="s">
        <v>2166</v>
      </c>
      <c r="E94" s="56" t="s">
        <v>1965</v>
      </c>
    </row>
    <row r="95" spans="1:5" x14ac:dyDescent="0.3">
      <c r="A95" s="54" t="s">
        <v>2163</v>
      </c>
      <c r="B95" s="54" t="s">
        <v>2175</v>
      </c>
      <c r="C95" s="54" t="s">
        <v>2176</v>
      </c>
      <c r="D95" s="54" t="s">
        <v>2166</v>
      </c>
      <c r="E95" s="54" t="s">
        <v>1965</v>
      </c>
    </row>
    <row r="96" spans="1:5" x14ac:dyDescent="0.3">
      <c r="A96" s="56" t="s">
        <v>2163</v>
      </c>
      <c r="B96" s="56" t="s">
        <v>2177</v>
      </c>
      <c r="C96" s="56" t="s">
        <v>2178</v>
      </c>
      <c r="D96" s="56" t="s">
        <v>2166</v>
      </c>
      <c r="E96" s="56" t="s">
        <v>1965</v>
      </c>
    </row>
    <row r="97" spans="1:5" ht="37.5" x14ac:dyDescent="0.3">
      <c r="A97" s="54" t="s">
        <v>2163</v>
      </c>
      <c r="B97" s="54" t="s">
        <v>2179</v>
      </c>
      <c r="C97" s="54" t="s">
        <v>2180</v>
      </c>
      <c r="D97" s="54" t="s">
        <v>2166</v>
      </c>
      <c r="E97" s="54" t="s">
        <v>1965</v>
      </c>
    </row>
    <row r="98" spans="1:5" x14ac:dyDescent="0.3">
      <c r="A98" s="56" t="s">
        <v>2163</v>
      </c>
      <c r="B98" s="56" t="s">
        <v>2181</v>
      </c>
      <c r="C98" s="56" t="s">
        <v>2182</v>
      </c>
      <c r="D98" s="56" t="s">
        <v>2183</v>
      </c>
      <c r="E98" s="56" t="s">
        <v>2184</v>
      </c>
    </row>
    <row r="99" spans="1:5" x14ac:dyDescent="0.3">
      <c r="A99" s="54" t="s">
        <v>2163</v>
      </c>
      <c r="B99" s="54" t="s">
        <v>2185</v>
      </c>
      <c r="C99" s="54" t="s">
        <v>2186</v>
      </c>
      <c r="D99" s="54" t="s">
        <v>2183</v>
      </c>
      <c r="E99" s="54" t="s">
        <v>2184</v>
      </c>
    </row>
    <row r="100" spans="1:5" x14ac:dyDescent="0.3">
      <c r="A100" s="56" t="s">
        <v>2163</v>
      </c>
      <c r="B100" s="56" t="s">
        <v>2187</v>
      </c>
      <c r="C100" s="56" t="s">
        <v>2188</v>
      </c>
      <c r="D100" s="56" t="s">
        <v>2183</v>
      </c>
      <c r="E100" s="56" t="s">
        <v>2184</v>
      </c>
    </row>
    <row r="101" spans="1:5" x14ac:dyDescent="0.3">
      <c r="A101" s="54" t="s">
        <v>2163</v>
      </c>
      <c r="B101" s="54" t="s">
        <v>2189</v>
      </c>
      <c r="C101" s="54" t="s">
        <v>2190</v>
      </c>
      <c r="D101" s="54" t="s">
        <v>2183</v>
      </c>
      <c r="E101" s="54" t="s">
        <v>2184</v>
      </c>
    </row>
    <row r="102" spans="1:5" ht="37.5" x14ac:dyDescent="0.3">
      <c r="A102" s="56" t="s">
        <v>2163</v>
      </c>
      <c r="B102" s="56" t="s">
        <v>2191</v>
      </c>
      <c r="C102" s="56" t="s">
        <v>2192</v>
      </c>
      <c r="D102" s="56" t="s">
        <v>2193</v>
      </c>
      <c r="E102" s="56" t="s">
        <v>2194</v>
      </c>
    </row>
    <row r="103" spans="1:5" x14ac:dyDescent="0.3">
      <c r="A103" s="54" t="s">
        <v>2163</v>
      </c>
      <c r="B103" s="54" t="s">
        <v>2195</v>
      </c>
      <c r="C103" s="54" t="s">
        <v>2196</v>
      </c>
      <c r="D103" s="54" t="s">
        <v>2197</v>
      </c>
      <c r="E103" s="54" t="s">
        <v>2198</v>
      </c>
    </row>
    <row r="104" spans="1:5" x14ac:dyDescent="0.3">
      <c r="A104" s="56" t="s">
        <v>2163</v>
      </c>
      <c r="B104" s="56" t="s">
        <v>2199</v>
      </c>
      <c r="C104" s="56" t="s">
        <v>2200</v>
      </c>
      <c r="D104" s="56" t="s">
        <v>2201</v>
      </c>
      <c r="E104" s="56" t="s">
        <v>2202</v>
      </c>
    </row>
    <row r="105" spans="1:5" x14ac:dyDescent="0.3">
      <c r="A105" s="54" t="s">
        <v>2163</v>
      </c>
      <c r="B105" s="54" t="s">
        <v>2203</v>
      </c>
      <c r="C105" s="54" t="s">
        <v>2204</v>
      </c>
      <c r="D105" s="54" t="s">
        <v>2201</v>
      </c>
      <c r="E105" s="54" t="s">
        <v>2205</v>
      </c>
    </row>
    <row r="106" spans="1:5" x14ac:dyDescent="0.3">
      <c r="A106" s="56" t="s">
        <v>2163</v>
      </c>
      <c r="B106" s="56" t="s">
        <v>2206</v>
      </c>
      <c r="C106" s="56" t="s">
        <v>2207</v>
      </c>
      <c r="D106" s="56" t="s">
        <v>2201</v>
      </c>
      <c r="E106" s="56" t="s">
        <v>2205</v>
      </c>
    </row>
    <row r="107" spans="1:5" ht="25" x14ac:dyDescent="0.3">
      <c r="A107" s="66" t="s">
        <v>2208</v>
      </c>
      <c r="B107" s="66" t="s">
        <v>2209</v>
      </c>
      <c r="C107" s="66" t="s">
        <v>2210</v>
      </c>
      <c r="D107" s="66" t="s">
        <v>2211</v>
      </c>
      <c r="E107" s="66" t="s">
        <v>2212</v>
      </c>
    </row>
    <row r="108" spans="1:5" ht="25" x14ac:dyDescent="0.3">
      <c r="A108" s="56" t="s">
        <v>2208</v>
      </c>
      <c r="B108" s="56" t="s">
        <v>2213</v>
      </c>
      <c r="C108" s="56" t="s">
        <v>2214</v>
      </c>
      <c r="D108" s="56" t="s">
        <v>2215</v>
      </c>
      <c r="E108" s="56" t="s">
        <v>2216</v>
      </c>
    </row>
    <row r="109" spans="1:5" ht="25" x14ac:dyDescent="0.3">
      <c r="A109" s="54" t="s">
        <v>2208</v>
      </c>
      <c r="B109" s="54" t="s">
        <v>2217</v>
      </c>
      <c r="C109" s="54" t="s">
        <v>2218</v>
      </c>
      <c r="D109" s="54" t="s">
        <v>2219</v>
      </c>
      <c r="E109" s="54" t="s">
        <v>2220</v>
      </c>
    </row>
    <row r="110" spans="1:5" ht="25" x14ac:dyDescent="0.3">
      <c r="A110" s="56" t="s">
        <v>2208</v>
      </c>
      <c r="B110" s="56" t="s">
        <v>2221</v>
      </c>
      <c r="C110" s="56" t="s">
        <v>2222</v>
      </c>
      <c r="D110" s="56" t="s">
        <v>1344</v>
      </c>
      <c r="E110" s="56" t="s">
        <v>2223</v>
      </c>
    </row>
    <row r="111" spans="1:5" x14ac:dyDescent="0.3">
      <c r="A111" s="54" t="s">
        <v>2208</v>
      </c>
      <c r="B111" s="54" t="s">
        <v>2224</v>
      </c>
      <c r="C111" s="54" t="s">
        <v>2225</v>
      </c>
      <c r="D111" s="54" t="s">
        <v>2226</v>
      </c>
      <c r="E111" s="54" t="s">
        <v>2227</v>
      </c>
    </row>
    <row r="112" spans="1:5" x14ac:dyDescent="0.3">
      <c r="A112" s="56" t="s">
        <v>2208</v>
      </c>
      <c r="B112" s="56" t="s">
        <v>2228</v>
      </c>
      <c r="C112" s="56" t="s">
        <v>2229</v>
      </c>
      <c r="D112" s="56" t="s">
        <v>2226</v>
      </c>
      <c r="E112" s="56" t="s">
        <v>2227</v>
      </c>
    </row>
    <row r="113" spans="1:5" x14ac:dyDescent="0.3">
      <c r="A113" s="54" t="s">
        <v>2208</v>
      </c>
      <c r="B113" s="54" t="s">
        <v>2230</v>
      </c>
      <c r="C113" s="54" t="s">
        <v>2231</v>
      </c>
      <c r="D113" s="54" t="s">
        <v>2232</v>
      </c>
      <c r="E113" s="54" t="s">
        <v>2233</v>
      </c>
    </row>
    <row r="114" spans="1:5" x14ac:dyDescent="0.3">
      <c r="A114" s="56" t="s">
        <v>2208</v>
      </c>
      <c r="B114" s="56" t="s">
        <v>2234</v>
      </c>
      <c r="C114" s="56" t="s">
        <v>2235</v>
      </c>
      <c r="D114" s="56" t="s">
        <v>2232</v>
      </c>
      <c r="E114" s="56" t="s">
        <v>2233</v>
      </c>
    </row>
    <row r="115" spans="1:5" x14ac:dyDescent="0.3">
      <c r="A115" s="54" t="s">
        <v>2208</v>
      </c>
      <c r="B115" s="54" t="s">
        <v>2236</v>
      </c>
      <c r="C115" s="54" t="s">
        <v>2237</v>
      </c>
      <c r="D115" s="54" t="s">
        <v>2232</v>
      </c>
      <c r="E115" s="54" t="s">
        <v>2233</v>
      </c>
    </row>
    <row r="116" spans="1:5" x14ac:dyDescent="0.3">
      <c r="A116" s="56" t="s">
        <v>2208</v>
      </c>
      <c r="B116" s="56" t="s">
        <v>2238</v>
      </c>
      <c r="C116" s="56" t="s">
        <v>2239</v>
      </c>
      <c r="D116" s="56" t="s">
        <v>2240</v>
      </c>
      <c r="E116" s="56" t="s">
        <v>2241</v>
      </c>
    </row>
    <row r="117" spans="1:5" x14ac:dyDescent="0.3">
      <c r="A117" s="54" t="s">
        <v>2208</v>
      </c>
      <c r="B117" s="54" t="s">
        <v>2242</v>
      </c>
      <c r="C117" s="54" t="s">
        <v>2243</v>
      </c>
      <c r="D117" s="54" t="s">
        <v>2240</v>
      </c>
      <c r="E117" s="54" t="s">
        <v>2241</v>
      </c>
    </row>
    <row r="118" spans="1:5" x14ac:dyDescent="0.3">
      <c r="A118" s="56" t="s">
        <v>2208</v>
      </c>
      <c r="B118" s="56" t="s">
        <v>2244</v>
      </c>
      <c r="C118" s="56" t="s">
        <v>2245</v>
      </c>
      <c r="D118" s="56" t="s">
        <v>68</v>
      </c>
      <c r="E118" s="56" t="s">
        <v>2241</v>
      </c>
    </row>
    <row r="119" spans="1:5" x14ac:dyDescent="0.3">
      <c r="A119" s="54" t="s">
        <v>2208</v>
      </c>
      <c r="B119" s="54" t="s">
        <v>2246</v>
      </c>
      <c r="C119" s="54" t="s">
        <v>2247</v>
      </c>
      <c r="D119" s="54" t="s">
        <v>68</v>
      </c>
      <c r="E119" s="54" t="s">
        <v>2241</v>
      </c>
    </row>
    <row r="120" spans="1:5" x14ac:dyDescent="0.3">
      <c r="A120" s="56" t="s">
        <v>2208</v>
      </c>
      <c r="B120" s="56" t="s">
        <v>2246</v>
      </c>
      <c r="C120" s="56" t="s">
        <v>2248</v>
      </c>
      <c r="D120" s="56" t="s">
        <v>69</v>
      </c>
      <c r="E120" s="56" t="s">
        <v>2249</v>
      </c>
    </row>
    <row r="121" spans="1:5" x14ac:dyDescent="0.3">
      <c r="A121" s="54" t="s">
        <v>2208</v>
      </c>
      <c r="B121" s="54" t="s">
        <v>2250</v>
      </c>
      <c r="C121" s="54" t="s">
        <v>2251</v>
      </c>
      <c r="D121" s="54" t="s">
        <v>68</v>
      </c>
      <c r="E121" s="54" t="s">
        <v>2241</v>
      </c>
    </row>
    <row r="122" spans="1:5" x14ac:dyDescent="0.3">
      <c r="A122" s="56" t="s">
        <v>2208</v>
      </c>
      <c r="B122" s="56" t="s">
        <v>2252</v>
      </c>
      <c r="C122" s="56" t="s">
        <v>2253</v>
      </c>
      <c r="D122" s="56" t="s">
        <v>68</v>
      </c>
      <c r="E122" s="56" t="s">
        <v>2254</v>
      </c>
    </row>
    <row r="123" spans="1:5" ht="25" x14ac:dyDescent="0.3">
      <c r="A123" s="54" t="s">
        <v>2208</v>
      </c>
      <c r="B123" s="54" t="s">
        <v>2252</v>
      </c>
      <c r="C123" s="54" t="s">
        <v>2255</v>
      </c>
      <c r="D123" s="54" t="s">
        <v>69</v>
      </c>
      <c r="E123" s="54" t="s">
        <v>2256</v>
      </c>
    </row>
    <row r="124" spans="1:5" ht="25" x14ac:dyDescent="0.3">
      <c r="A124" s="56" t="s">
        <v>2208</v>
      </c>
      <c r="B124" s="56" t="s">
        <v>2257</v>
      </c>
      <c r="C124" s="56" t="s">
        <v>2258</v>
      </c>
      <c r="D124" s="56" t="s">
        <v>68</v>
      </c>
      <c r="E124" s="56" t="s">
        <v>2259</v>
      </c>
    </row>
    <row r="125" spans="1:5" x14ac:dyDescent="0.3">
      <c r="A125" s="54" t="s">
        <v>2208</v>
      </c>
      <c r="B125" s="54" t="s">
        <v>2260</v>
      </c>
      <c r="C125" s="54" t="s">
        <v>2261</v>
      </c>
      <c r="D125" s="54" t="s">
        <v>66</v>
      </c>
      <c r="E125" s="54" t="s">
        <v>2262</v>
      </c>
    </row>
    <row r="126" spans="1:5" ht="37.5" x14ac:dyDescent="0.3">
      <c r="A126" s="56" t="s">
        <v>2208</v>
      </c>
      <c r="B126" s="56" t="s">
        <v>2263</v>
      </c>
      <c r="C126" s="56" t="s">
        <v>2264</v>
      </c>
      <c r="D126" s="56" t="s">
        <v>1345</v>
      </c>
      <c r="E126" s="56" t="s">
        <v>2265</v>
      </c>
    </row>
    <row r="127" spans="1:5" ht="37.5" x14ac:dyDescent="0.3">
      <c r="A127" s="54" t="s">
        <v>2208</v>
      </c>
      <c r="B127" s="54" t="s">
        <v>2266</v>
      </c>
      <c r="C127" s="54" t="s">
        <v>2267</v>
      </c>
      <c r="D127" s="54" t="s">
        <v>1345</v>
      </c>
      <c r="E127" s="54" t="s">
        <v>2268</v>
      </c>
    </row>
    <row r="128" spans="1:5" x14ac:dyDescent="0.3">
      <c r="A128" s="56" t="s">
        <v>2208</v>
      </c>
      <c r="B128" s="56" t="s">
        <v>2269</v>
      </c>
      <c r="C128" s="56" t="s">
        <v>2270</v>
      </c>
      <c r="D128" s="56" t="s">
        <v>1345</v>
      </c>
      <c r="E128" s="56" t="s">
        <v>2271</v>
      </c>
    </row>
    <row r="129" spans="1:5" x14ac:dyDescent="0.3">
      <c r="A129" s="66" t="s">
        <v>1842</v>
      </c>
      <c r="B129" s="66" t="s">
        <v>2272</v>
      </c>
      <c r="C129" s="66" t="s">
        <v>2273</v>
      </c>
      <c r="D129" s="66" t="s">
        <v>1953</v>
      </c>
      <c r="E129" s="66" t="s">
        <v>2274</v>
      </c>
    </row>
    <row r="130" spans="1:5" x14ac:dyDescent="0.3">
      <c r="A130" s="56" t="s">
        <v>1842</v>
      </c>
      <c r="B130" s="56" t="s">
        <v>2272</v>
      </c>
      <c r="C130" s="56" t="s">
        <v>2275</v>
      </c>
      <c r="D130" s="56" t="s">
        <v>1341</v>
      </c>
      <c r="E130" s="56" t="s">
        <v>2274</v>
      </c>
    </row>
    <row r="131" spans="1:5" x14ac:dyDescent="0.3">
      <c r="A131" s="54" t="s">
        <v>1842</v>
      </c>
      <c r="B131" s="54" t="s">
        <v>2272</v>
      </c>
      <c r="C131" s="54" t="s">
        <v>2276</v>
      </c>
      <c r="D131" s="54" t="s">
        <v>1342</v>
      </c>
      <c r="E131" s="54" t="s">
        <v>2274</v>
      </c>
    </row>
    <row r="132" spans="1:5" x14ac:dyDescent="0.3">
      <c r="A132" s="56" t="s">
        <v>1842</v>
      </c>
      <c r="B132" s="56" t="s">
        <v>2272</v>
      </c>
      <c r="C132" s="56" t="s">
        <v>2277</v>
      </c>
      <c r="D132" s="56" t="s">
        <v>1343</v>
      </c>
      <c r="E132" s="56" t="s">
        <v>2274</v>
      </c>
    </row>
    <row r="133" spans="1:5" x14ac:dyDescent="0.3">
      <c r="A133" s="54" t="s">
        <v>1842</v>
      </c>
      <c r="B133" s="54" t="s">
        <v>2272</v>
      </c>
      <c r="C133" s="54" t="s">
        <v>2278</v>
      </c>
      <c r="D133" s="54" t="s">
        <v>1344</v>
      </c>
      <c r="E133" s="54" t="s">
        <v>2274</v>
      </c>
    </row>
    <row r="134" spans="1:5" x14ac:dyDescent="0.3">
      <c r="A134" s="56" t="s">
        <v>1842</v>
      </c>
      <c r="B134" s="56" t="s">
        <v>2279</v>
      </c>
      <c r="C134" s="56" t="s">
        <v>2280</v>
      </c>
      <c r="D134" s="56" t="s">
        <v>2281</v>
      </c>
      <c r="E134" s="56" t="s">
        <v>2274</v>
      </c>
    </row>
    <row r="135" spans="1:5" x14ac:dyDescent="0.3">
      <c r="A135" s="54" t="s">
        <v>1842</v>
      </c>
      <c r="B135" s="54" t="s">
        <v>2282</v>
      </c>
      <c r="C135" s="54" t="s">
        <v>2283</v>
      </c>
      <c r="D135" s="54" t="s">
        <v>1344</v>
      </c>
      <c r="E135" s="54" t="s">
        <v>2274</v>
      </c>
    </row>
    <row r="136" spans="1:5" x14ac:dyDescent="0.3">
      <c r="A136" s="56" t="s">
        <v>1842</v>
      </c>
      <c r="B136" s="56" t="s">
        <v>2284</v>
      </c>
      <c r="C136" s="56" t="s">
        <v>2285</v>
      </c>
      <c r="D136" s="56" t="s">
        <v>2286</v>
      </c>
      <c r="E136" s="56" t="s">
        <v>2274</v>
      </c>
    </row>
    <row r="137" spans="1:5" ht="25" x14ac:dyDescent="0.3">
      <c r="A137" s="66" t="s">
        <v>2287</v>
      </c>
      <c r="B137" s="66" t="s">
        <v>2288</v>
      </c>
      <c r="C137" s="66" t="s">
        <v>2289</v>
      </c>
      <c r="D137" s="66" t="s">
        <v>2290</v>
      </c>
      <c r="E137" s="66" t="s">
        <v>2291</v>
      </c>
    </row>
    <row r="138" spans="1:5" ht="25" x14ac:dyDescent="0.3">
      <c r="A138" s="56" t="s">
        <v>2287</v>
      </c>
      <c r="B138" s="56" t="s">
        <v>2292</v>
      </c>
      <c r="C138" s="56" t="s">
        <v>2293</v>
      </c>
      <c r="D138" s="56" t="s">
        <v>1343</v>
      </c>
      <c r="E138" s="56" t="s">
        <v>2127</v>
      </c>
    </row>
    <row r="139" spans="1:5" ht="37.5" x14ac:dyDescent="0.3">
      <c r="A139" s="54" t="s">
        <v>2287</v>
      </c>
      <c r="B139" s="54" t="s">
        <v>2294</v>
      </c>
      <c r="C139" s="54" t="s">
        <v>2295</v>
      </c>
      <c r="D139" s="54" t="s">
        <v>2296</v>
      </c>
      <c r="E139" s="54" t="s">
        <v>2297</v>
      </c>
    </row>
    <row r="140" spans="1:5" x14ac:dyDescent="0.3">
      <c r="A140" s="56" t="s">
        <v>2287</v>
      </c>
      <c r="B140" s="56" t="s">
        <v>2205</v>
      </c>
      <c r="C140" s="56" t="s">
        <v>2298</v>
      </c>
      <c r="D140" s="56" t="s">
        <v>2299</v>
      </c>
      <c r="E140" s="56" t="s">
        <v>2291</v>
      </c>
    </row>
    <row r="141" spans="1:5" ht="25" x14ac:dyDescent="0.3">
      <c r="A141" s="54" t="s">
        <v>2287</v>
      </c>
      <c r="B141" s="54" t="s">
        <v>2300</v>
      </c>
      <c r="C141" s="54" t="s">
        <v>2301</v>
      </c>
      <c r="D141" s="54" t="s">
        <v>2302</v>
      </c>
      <c r="E141" s="54" t="s">
        <v>2202</v>
      </c>
    </row>
    <row r="142" spans="1:5" ht="25" x14ac:dyDescent="0.3">
      <c r="A142" s="56" t="s">
        <v>2287</v>
      </c>
      <c r="B142" s="56" t="s">
        <v>2303</v>
      </c>
      <c r="C142" s="56" t="s">
        <v>2304</v>
      </c>
      <c r="D142" s="56" t="s">
        <v>2305</v>
      </c>
      <c r="E142" s="56" t="s">
        <v>2291</v>
      </c>
    </row>
    <row r="143" spans="1:5" x14ac:dyDescent="0.3">
      <c r="A143" s="54" t="s">
        <v>2287</v>
      </c>
      <c r="B143" s="54" t="s">
        <v>2306</v>
      </c>
      <c r="C143" s="54" t="s">
        <v>2307</v>
      </c>
      <c r="D143" s="54" t="s">
        <v>2308</v>
      </c>
      <c r="E143" s="54" t="s">
        <v>2127</v>
      </c>
    </row>
  </sheetData>
  <autoFilter ref="A4:E143" xr:uid="{00000000-0009-0000-0000-000010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D28"/>
  <sheetViews>
    <sheetView showGridLines="0" workbookViewId="0">
      <pane ySplit="4" topLeftCell="A5" activePane="bottomLeft" state="frozen"/>
      <selection pane="bottomLeft"/>
    </sheetView>
  </sheetViews>
  <sheetFormatPr defaultRowHeight="14" x14ac:dyDescent="0.3"/>
  <cols>
    <col min="1" max="1" width="26" customWidth="1"/>
    <col min="2" max="2" width="30" customWidth="1"/>
    <col min="3" max="3" width="56" customWidth="1"/>
    <col min="4" max="4" width="48" customWidth="1"/>
  </cols>
  <sheetData>
    <row r="1" spans="1:4" ht="18" x14ac:dyDescent="0.4">
      <c r="A1" s="1" t="s">
        <v>2309</v>
      </c>
    </row>
    <row r="2" spans="1:4" x14ac:dyDescent="0.3">
      <c r="A2" s="8" t="s">
        <v>2310</v>
      </c>
    </row>
    <row r="4" spans="1:4" x14ac:dyDescent="0.3">
      <c r="A4" s="65" t="s">
        <v>1224</v>
      </c>
      <c r="B4" s="65" t="s">
        <v>2311</v>
      </c>
      <c r="C4" s="65" t="s">
        <v>2312</v>
      </c>
      <c r="D4" s="65" t="s">
        <v>2313</v>
      </c>
    </row>
    <row r="5" spans="1:4" ht="37.5" x14ac:dyDescent="0.3">
      <c r="A5" s="54" t="s">
        <v>2314</v>
      </c>
      <c r="B5" s="54" t="s">
        <v>2315</v>
      </c>
      <c r="C5" s="54" t="s">
        <v>2316</v>
      </c>
      <c r="D5" s="54" t="s">
        <v>2317</v>
      </c>
    </row>
    <row r="6" spans="1:4" x14ac:dyDescent="0.3">
      <c r="A6" s="56" t="s">
        <v>2318</v>
      </c>
      <c r="B6" s="56" t="s">
        <v>2319</v>
      </c>
      <c r="C6" s="56" t="s">
        <v>2320</v>
      </c>
      <c r="D6" s="56" t="s">
        <v>2321</v>
      </c>
    </row>
    <row r="7" spans="1:4" ht="25" x14ac:dyDescent="0.3">
      <c r="A7" s="54" t="s">
        <v>1965</v>
      </c>
      <c r="B7" s="54" t="s">
        <v>2322</v>
      </c>
      <c r="C7" s="54" t="s">
        <v>2323</v>
      </c>
      <c r="D7" s="54" t="s">
        <v>2324</v>
      </c>
    </row>
    <row r="8" spans="1:4" ht="25" x14ac:dyDescent="0.3">
      <c r="A8" s="56" t="s">
        <v>2127</v>
      </c>
      <c r="B8" s="56" t="s">
        <v>2325</v>
      </c>
      <c r="C8" s="56" t="s">
        <v>2326</v>
      </c>
      <c r="D8" s="56" t="s">
        <v>2327</v>
      </c>
    </row>
    <row r="9" spans="1:4" ht="37.5" x14ac:dyDescent="0.3">
      <c r="A9" s="54" t="s">
        <v>2328</v>
      </c>
      <c r="B9" s="54" t="s">
        <v>2329</v>
      </c>
      <c r="C9" s="54" t="s">
        <v>2330</v>
      </c>
      <c r="D9" s="54" t="s">
        <v>2331</v>
      </c>
    </row>
    <row r="10" spans="1:4" x14ac:dyDescent="0.3">
      <c r="A10" s="56" t="s">
        <v>2332</v>
      </c>
      <c r="B10" s="56" t="s">
        <v>2329</v>
      </c>
      <c r="C10" s="56" t="s">
        <v>2333</v>
      </c>
      <c r="D10" s="56" t="s">
        <v>2334</v>
      </c>
    </row>
    <row r="11" spans="1:4" ht="37.5" x14ac:dyDescent="0.3">
      <c r="A11" s="54" t="s">
        <v>2335</v>
      </c>
      <c r="B11" s="54" t="s">
        <v>2336</v>
      </c>
      <c r="C11" s="54" t="s">
        <v>2337</v>
      </c>
      <c r="D11" s="54" t="s">
        <v>2338</v>
      </c>
    </row>
    <row r="12" spans="1:4" ht="50" x14ac:dyDescent="0.3">
      <c r="A12" s="56" t="s">
        <v>2249</v>
      </c>
      <c r="B12" s="56" t="s">
        <v>2339</v>
      </c>
      <c r="C12" s="56" t="s">
        <v>2340</v>
      </c>
      <c r="D12" s="56" t="s">
        <v>2341</v>
      </c>
    </row>
    <row r="13" spans="1:4" ht="75" x14ac:dyDescent="0.3">
      <c r="A13" s="54" t="s">
        <v>2342</v>
      </c>
      <c r="B13" s="54" t="s">
        <v>2343</v>
      </c>
      <c r="C13" s="54" t="s">
        <v>2344</v>
      </c>
      <c r="D13" s="54" t="s">
        <v>2345</v>
      </c>
    </row>
    <row r="14" spans="1:4" ht="25" x14ac:dyDescent="0.3">
      <c r="A14" s="56" t="s">
        <v>2346</v>
      </c>
      <c r="B14" s="56" t="s">
        <v>2347</v>
      </c>
      <c r="C14" s="56" t="s">
        <v>2348</v>
      </c>
      <c r="D14" s="56" t="s">
        <v>2349</v>
      </c>
    </row>
    <row r="15" spans="1:4" ht="37.5" x14ac:dyDescent="0.3">
      <c r="A15" s="54" t="s">
        <v>2350</v>
      </c>
      <c r="B15" s="54" t="s">
        <v>2351</v>
      </c>
      <c r="C15" s="54" t="s">
        <v>2352</v>
      </c>
      <c r="D15" s="54" t="s">
        <v>2353</v>
      </c>
    </row>
    <row r="16" spans="1:4" x14ac:dyDescent="0.3">
      <c r="A16" s="56" t="s">
        <v>2354</v>
      </c>
      <c r="B16" s="56" t="s">
        <v>2355</v>
      </c>
      <c r="C16" s="56" t="s">
        <v>2356</v>
      </c>
      <c r="D16" s="56" t="s">
        <v>2357</v>
      </c>
    </row>
    <row r="17" spans="1:4" ht="25" x14ac:dyDescent="0.3">
      <c r="A17" s="54" t="s">
        <v>2358</v>
      </c>
      <c r="B17" s="54" t="s">
        <v>2359</v>
      </c>
      <c r="C17" s="54" t="s">
        <v>2360</v>
      </c>
      <c r="D17" s="54" t="s">
        <v>2361</v>
      </c>
    </row>
    <row r="18" spans="1:4" ht="37.5" x14ac:dyDescent="0.3">
      <c r="A18" s="56" t="s">
        <v>2362</v>
      </c>
      <c r="B18" s="56" t="s">
        <v>2363</v>
      </c>
      <c r="C18" s="56" t="s">
        <v>2364</v>
      </c>
      <c r="D18" s="56" t="s">
        <v>2365</v>
      </c>
    </row>
    <row r="19" spans="1:4" ht="37.5" x14ac:dyDescent="0.3">
      <c r="A19" s="54" t="s">
        <v>2366</v>
      </c>
      <c r="B19" s="54" t="s">
        <v>2367</v>
      </c>
      <c r="C19" s="54" t="s">
        <v>2368</v>
      </c>
      <c r="D19" s="54" t="s">
        <v>2369</v>
      </c>
    </row>
    <row r="20" spans="1:4" ht="25" x14ac:dyDescent="0.3">
      <c r="A20" s="56" t="s">
        <v>2370</v>
      </c>
      <c r="B20" s="56" t="s">
        <v>2371</v>
      </c>
      <c r="C20" s="56" t="s">
        <v>2372</v>
      </c>
      <c r="D20" s="56" t="s">
        <v>2373</v>
      </c>
    </row>
    <row r="21" spans="1:4" ht="37.5" x14ac:dyDescent="0.3">
      <c r="A21" s="54" t="s">
        <v>2374</v>
      </c>
      <c r="B21" s="54" t="s">
        <v>2375</v>
      </c>
      <c r="C21" s="54" t="s">
        <v>2376</v>
      </c>
      <c r="D21" s="54" t="s">
        <v>2377</v>
      </c>
    </row>
    <row r="22" spans="1:4" x14ac:dyDescent="0.3">
      <c r="A22" s="56" t="s">
        <v>2378</v>
      </c>
      <c r="B22" s="56" t="s">
        <v>2379</v>
      </c>
      <c r="C22" s="56" t="s">
        <v>2380</v>
      </c>
      <c r="D22" s="56" t="s">
        <v>2381</v>
      </c>
    </row>
    <row r="23" spans="1:4" x14ac:dyDescent="0.3">
      <c r="A23" s="54" t="s">
        <v>2382</v>
      </c>
      <c r="B23" s="54" t="s">
        <v>2383</v>
      </c>
      <c r="C23" s="54" t="s">
        <v>2384</v>
      </c>
      <c r="D23" s="54" t="s">
        <v>2385</v>
      </c>
    </row>
    <row r="24" spans="1:4" ht="25" x14ac:dyDescent="0.3">
      <c r="A24" s="56" t="s">
        <v>2386</v>
      </c>
      <c r="B24" s="56" t="s">
        <v>2387</v>
      </c>
      <c r="C24" s="56" t="s">
        <v>2388</v>
      </c>
      <c r="D24" s="56" t="s">
        <v>2389</v>
      </c>
    </row>
    <row r="25" spans="1:4" x14ac:dyDescent="0.3">
      <c r="A25" s="54" t="s">
        <v>2066</v>
      </c>
      <c r="B25" s="54" t="s">
        <v>2390</v>
      </c>
      <c r="C25" s="54" t="s">
        <v>2391</v>
      </c>
      <c r="D25" s="54" t="s">
        <v>2392</v>
      </c>
    </row>
    <row r="26" spans="1:4" x14ac:dyDescent="0.3">
      <c r="A26" s="56" t="s">
        <v>2274</v>
      </c>
      <c r="B26" s="56" t="s">
        <v>2393</v>
      </c>
      <c r="C26" s="56" t="s">
        <v>2394</v>
      </c>
      <c r="D26" s="56" t="s">
        <v>2395</v>
      </c>
    </row>
    <row r="27" spans="1:4" ht="25" x14ac:dyDescent="0.3">
      <c r="A27" s="54" t="s">
        <v>2396</v>
      </c>
      <c r="B27" s="54" t="s">
        <v>2397</v>
      </c>
      <c r="C27" s="54" t="s">
        <v>2398</v>
      </c>
      <c r="D27" s="54" t="s">
        <v>2399</v>
      </c>
    </row>
    <row r="28" spans="1:4" x14ac:dyDescent="0.3">
      <c r="A28" s="56" t="s">
        <v>2400</v>
      </c>
      <c r="B28" s="56" t="s">
        <v>2397</v>
      </c>
      <c r="C28" s="56" t="s">
        <v>2401</v>
      </c>
      <c r="D28" s="56" t="s">
        <v>2402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Read me</vt:lpstr>
      <vt:lpstr>DNSE financials</vt:lpstr>
      <vt:lpstr>DNSE statements</vt:lpstr>
      <vt:lpstr>Market share</vt:lpstr>
      <vt:lpstr>Market share history</vt:lpstr>
      <vt:lpstr>Industry cross-section</vt:lpstr>
      <vt:lpstr>Broker totals</vt:lpstr>
      <vt:lpstr>DNSE position</vt:lpstr>
      <vt:lpstr>Market and macro</vt:lpstr>
      <vt:lpstr>Review analysis</vt:lpstr>
      <vt:lpstr>Review quotes</vt:lpstr>
      <vt:lpstr>Segment model</vt:lpstr>
      <vt:lpstr>Segments 2024</vt:lpstr>
      <vt:lpstr>Segment gaps</vt:lpstr>
      <vt:lpstr>National 2024</vt:lpstr>
      <vt:lpstr>Trends</vt:lpstr>
      <vt:lpstr>Vietnam reference</vt:lpstr>
      <vt:lpstr>Sources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Pham Quang Truc</cp:lastModifiedBy>
  <dcterms:created xsi:type="dcterms:W3CDTF">2026-09-24T18:27:29Z</dcterms:created>
  <dcterms:modified xsi:type="dcterms:W3CDTF">2026-09-24T18:27:31Z</dcterms:modified>
</cp:coreProperties>
</file>