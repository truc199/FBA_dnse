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DNSE financials" sheetId="2" state="visible" r:id="rId2"/>
    <sheet name="Market share" sheetId="3" state="visible" r:id="rId3"/>
    <sheet name="Industry cross-section" sheetId="4" state="visible" r:id="rId4"/>
    <sheet name="DNSE position" sheetId="5" state="visible" r:id="rId5"/>
    <sheet name="Review analysis" sheetId="6" state="visible" r:id="rId6"/>
    <sheet name="Review quotes" sheetId="7" state="visible" r:id="rId7"/>
    <sheet name="Segment model" sheetId="8" state="visible" r:id="rId8"/>
    <sheet name="Segments 2024" sheetId="9" state="visible" r:id="rId9"/>
    <sheet name="Segment gaps" sheetId="10" state="visible" r:id="rId10"/>
    <sheet name="National 2024" sheetId="11" state="visible" r:id="rId11"/>
    <sheet name="Trends" sheetId="12" state="visible" r:id="rId12"/>
    <sheet name="Vietnam reference" sheetId="13" state="visible" r:id="rId13"/>
    <sheet name="Sources" sheetId="14" state="visible" r:id="rId14"/>
  </sheets>
  <definedNames>
    <definedName name="_xlnm._FilterDatabase" localSheetId="6" hidden="1">'Review quotes'!$A$4:$F$54</definedName>
    <definedName name="_xlnm._FilterDatabase" localSheetId="8" hidden="1">'Segments 2024'!$A$4:$P$55</definedName>
    <definedName name="_xlnm._FilterDatabase" localSheetId="9" hidden="1">'Segment gaps'!$A$4:$I$55</definedName>
    <definedName name="_xlnm._FilterDatabase" localSheetId="10" hidden="1">'National 2024'!$A$4:$D$36</definedName>
    <definedName name="_xlnm._FilterDatabase" localSheetId="11" hidden="1">'Trends'!$A$4:$I$30</definedName>
    <definedName name="_xlnm._FilterDatabase" localSheetId="12" hidden="1">'Vietnam reference'!$A$4:$E$143</definedName>
  </definedNames>
  <calcPr calcId="124519" fullCalcOnLoad="1"/>
</workbook>
</file>

<file path=xl/styles.xml><?xml version="1.0" encoding="utf-8"?>
<styleSheet xmlns="http://schemas.openxmlformats.org/spreadsheetml/2006/main">
  <numFmts count="8">
    <numFmt numFmtId="164" formatCode="0.0"/>
    <numFmt numFmtId="165" formatCode="0.0;(0.0);-"/>
    <numFmt numFmtId="166" formatCode="#,##0.0;(#,##0.0);-"/>
    <numFmt numFmtId="167" formatCode="#,##0;(#,##0);-"/>
    <numFmt numFmtId="168" formatCode="#,##0.0"/>
    <numFmt numFmtId="169" formatCode="0.00&quot;x&quot;"/>
    <numFmt numFmtId="170" formatCode="0.00;(0.00);-"/>
    <numFmt numFmtId="171" formatCode="0.000"/>
  </numFmts>
  <fonts count="10">
    <font>
      <name val="Calibri"/>
      <family val="2"/>
      <color theme="1"/>
      <sz val="11"/>
      <scheme val="minor"/>
    </font>
    <font>
      <name val="Arial"/>
      <b val="1"/>
      <color rgb="001F3864"/>
      <sz val="14"/>
    </font>
    <font>
      <name val="Arial"/>
      <color rgb="00595959"/>
      <sz val="10"/>
    </font>
    <font>
      <name val="Arial"/>
      <b val="1"/>
      <sz val="10"/>
    </font>
    <font>
      <name val="Arial"/>
      <sz val="10"/>
    </font>
    <font>
      <name val="Arial"/>
      <b val="1"/>
      <color rgb="002E74B5"/>
      <sz val="11"/>
    </font>
    <font>
      <name val="Arial"/>
      <color rgb="00595959"/>
      <sz val="9"/>
    </font>
    <font>
      <name val="Arial"/>
      <b val="1"/>
      <color rgb="00FFFFFF"/>
      <sz val="10"/>
    </font>
    <font>
      <name val="Arial"/>
      <color rgb="000000FF"/>
      <sz val="10"/>
    </font>
    <font>
      <name val="Arial"/>
      <color rgb="00008000"/>
      <sz val="10"/>
    </font>
  </fonts>
  <fills count="6">
    <fill>
      <patternFill/>
    </fill>
    <fill>
      <patternFill patternType="gray125"/>
    </fill>
    <fill>
      <patternFill patternType="solid">
        <fgColor rgb="001F3864"/>
      </patternFill>
    </fill>
    <fill>
      <patternFill patternType="solid">
        <fgColor rgb="00EDF2F8"/>
      </patternFill>
    </fill>
    <fill>
      <patternFill patternType="solid">
        <fgColor rgb="00FBF0E4"/>
      </patternFill>
    </fill>
    <fill>
      <patternFill patternType="solid">
        <fgColor rgb="00FFFF00"/>
      </patternFill>
    </fill>
  </fills>
  <borders count="6">
    <border>
      <left/>
      <right/>
      <top/>
      <bottom/>
      <diagonal/>
    </border>
    <border>
      <left style="thin">
        <color rgb="00CFDAE8"/>
      </left>
      <right style="thin">
        <color rgb="00CFDAE8"/>
      </right>
      <top style="thin">
        <color rgb="00CFDAE8"/>
      </top>
      <bottom style="thin">
        <color rgb="00CFDAE8"/>
      </bottom>
    </border>
    <border>
      <left/>
      <right/>
      <top style="thin">
        <color rgb="00CFDAE8"/>
      </top>
      <bottom/>
      <diagonal/>
    </border>
    <border>
      <left/>
      <right style="thin">
        <color rgb="00CFDAE8"/>
      </right>
      <top style="thin">
        <color rgb="00CFDAE8"/>
      </top>
      <bottom/>
      <diagonal/>
    </border>
    <border>
      <left/>
      <right/>
      <top style="thin">
        <color rgb="00CFDAE8"/>
      </top>
      <bottom style="thin">
        <color rgb="00CFDAE8"/>
      </bottom>
      <diagonal/>
    </border>
    <border>
      <left/>
      <right style="thin">
        <color rgb="00CFDAE8"/>
      </right>
      <top style="thin">
        <color rgb="00CFDAE8"/>
      </top>
      <bottom style="thin">
        <color rgb="00CFDAE8"/>
      </bottom>
      <diagonal/>
    </border>
  </borders>
  <cellStyleXfs count="1">
    <xf numFmtId="0" fontId="0" fillId="0" borderId="0"/>
  </cellStyleXfs>
  <cellXfs count="6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4" fillId="0" borderId="0" applyAlignment="1" pivotButton="0" quotePrefix="0" xfId="0">
      <alignment vertical="top" wrapText="1"/>
    </xf>
    <xf numFmtId="0" fontId="5"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7" fillId="2" borderId="1" applyAlignment="1" pivotButton="0" quotePrefix="0" xfId="0">
      <alignment horizontal="left" vertical="center" wrapText="1"/>
    </xf>
    <xf numFmtId="0" fontId="7" fillId="2" borderId="1" applyAlignment="1" pivotButton="0" quotePrefix="0" xfId="0">
      <alignment horizontal="center" vertical="center" wrapText="1"/>
    </xf>
    <xf numFmtId="0" fontId="3" fillId="0" borderId="1" pivotButton="0" quotePrefix="0" xfId="0"/>
    <xf numFmtId="166" fontId="8" fillId="0" borderId="1" pivotButton="0" quotePrefix="0" xfId="0"/>
    <xf numFmtId="165" fontId="4" fillId="0" borderId="1" pivotButton="0" quotePrefix="0" xfId="0"/>
    <xf numFmtId="0" fontId="6" fillId="0" borderId="1" applyAlignment="1" pivotButton="0" quotePrefix="0" xfId="0">
      <alignment vertical="top" wrapText="1"/>
    </xf>
    <xf numFmtId="0" fontId="3" fillId="3" borderId="1" pivotButton="0" quotePrefix="0" xfId="0"/>
    <xf numFmtId="166" fontId="8" fillId="3" borderId="1" pivotButton="0" quotePrefix="0" xfId="0"/>
    <xf numFmtId="166" fontId="4" fillId="3" borderId="1" pivotButton="0" quotePrefix="0" xfId="0"/>
    <xf numFmtId="165" fontId="4" fillId="3" borderId="1" pivotButton="0" quotePrefix="0" xfId="0"/>
    <xf numFmtId="0" fontId="6" fillId="3" borderId="1" applyAlignment="1" pivotButton="0" quotePrefix="0" xfId="0">
      <alignment vertical="top" wrapText="1"/>
    </xf>
    <xf numFmtId="166" fontId="4" fillId="0" borderId="1" pivotButton="0" quotePrefix="0" xfId="0"/>
    <xf numFmtId="167" fontId="8" fillId="3" borderId="1" pivotButton="0" quotePrefix="0" xfId="0"/>
    <xf numFmtId="0" fontId="4" fillId="0" borderId="1" pivotButton="0" quotePrefix="0" xfId="0"/>
    <xf numFmtId="0" fontId="4" fillId="3" borderId="1" pivotButton="0" quotePrefix="0" xfId="0"/>
    <xf numFmtId="167" fontId="8" fillId="0" borderId="1" pivotButton="0" quotePrefix="0" xfId="0"/>
    <xf numFmtId="3" fontId="4" fillId="3" borderId="1" pivotButton="0" quotePrefix="0" xfId="0"/>
    <xf numFmtId="3" fontId="4" fillId="0" borderId="1" pivotButton="0" quotePrefix="0" xfId="0"/>
    <xf numFmtId="168" fontId="4" fillId="3" borderId="1" pivotButton="0" quotePrefix="0" xfId="0"/>
    <xf numFmtId="169" fontId="4" fillId="0" borderId="1" pivotButton="0" quotePrefix="0" xfId="0"/>
    <xf numFmtId="170" fontId="8" fillId="0" borderId="1" pivotButton="0" quotePrefix="0" xfId="0"/>
    <xf numFmtId="170" fontId="4" fillId="0" borderId="1" pivotButton="0" quotePrefix="0" xfId="0"/>
    <xf numFmtId="170" fontId="8" fillId="3" borderId="1" pivotButton="0" quotePrefix="0" xfId="0"/>
    <xf numFmtId="170" fontId="4" fillId="3" borderId="1" pivotButton="0" quotePrefix="0" xfId="0"/>
    <xf numFmtId="0" fontId="6" fillId="3" borderId="1" pivotButton="0" quotePrefix="0" xfId="0"/>
    <xf numFmtId="0" fontId="6" fillId="0" borderId="1" pivotButton="0" quotePrefix="0" xfId="0"/>
    <xf numFmtId="167" fontId="4" fillId="0" borderId="1" pivotButton="0" quotePrefix="0" xfId="0"/>
    <xf numFmtId="0" fontId="3" fillId="4" borderId="1" pivotButton="0" quotePrefix="0" xfId="0"/>
    <xf numFmtId="167" fontId="8" fillId="4" borderId="1" pivotButton="0" quotePrefix="0" xfId="0"/>
    <xf numFmtId="0" fontId="4" fillId="4" borderId="1" pivotButton="0" quotePrefix="0" xfId="0"/>
    <xf numFmtId="0" fontId="6" fillId="4" borderId="1" applyAlignment="1" pivotButton="0" quotePrefix="0" xfId="0">
      <alignment vertical="top" wrapText="1"/>
    </xf>
    <xf numFmtId="166" fontId="9" fillId="0" borderId="1" pivotButton="0" quotePrefix="0" xfId="0"/>
    <xf numFmtId="171" fontId="4" fillId="0" borderId="1" pivotButton="0" quotePrefix="0" xfId="0"/>
    <xf numFmtId="171" fontId="8" fillId="0" borderId="1" pivotButton="0" quotePrefix="0" xfId="0"/>
    <xf numFmtId="167" fontId="4" fillId="3" borderId="1" pivotButton="0" quotePrefix="0" xfId="0"/>
    <xf numFmtId="171" fontId="8" fillId="3" borderId="1" pivotButton="0" quotePrefix="0" xfId="0"/>
    <xf numFmtId="167" fontId="3" fillId="0" borderId="1" pivotButton="0" quotePrefix="0" xfId="0"/>
    <xf numFmtId="165" fontId="3" fillId="0" borderId="1" pivotButton="0" quotePrefix="0" xfId="0"/>
    <xf numFmtId="165" fontId="8" fillId="3" borderId="1" pivotButton="0" quotePrefix="0" xfId="0"/>
    <xf numFmtId="165" fontId="8" fillId="0" borderId="1" pivotButton="0" quotePrefix="0" xfId="0"/>
    <xf numFmtId="2" fontId="8" fillId="3" borderId="1" pivotButton="0" quotePrefix="0" xfId="0"/>
    <xf numFmtId="2" fontId="8" fillId="0" borderId="1" pivotButton="0" quotePrefix="0" xfId="0"/>
    <xf numFmtId="1" fontId="4" fillId="0" borderId="1" pivotButton="0" quotePrefix="0" xfId="0"/>
    <xf numFmtId="0" fontId="4" fillId="0" borderId="1" applyAlignment="1" pivotButton="0" quotePrefix="0" xfId="0">
      <alignment vertical="top" wrapText="1"/>
    </xf>
    <xf numFmtId="1" fontId="4" fillId="3" borderId="1" pivotButton="0" quotePrefix="0" xfId="0"/>
    <xf numFmtId="0" fontId="4" fillId="3" borderId="1" applyAlignment="1" pivotButton="0" quotePrefix="0" xfId="0">
      <alignment vertical="top" wrapText="1"/>
    </xf>
    <xf numFmtId="0" fontId="3" fillId="5" borderId="1" pivotButton="0" quotePrefix="0" xfId="0"/>
    <xf numFmtId="164" fontId="8" fillId="5" borderId="1" pivotButton="0" quotePrefix="0" xfId="0"/>
    <xf numFmtId="0" fontId="0" fillId="0" borderId="4" pivotButton="0" quotePrefix="0" xfId="0"/>
    <xf numFmtId="0" fontId="0" fillId="0" borderId="5" pivotButton="0" quotePrefix="0" xfId="0"/>
    <xf numFmtId="0" fontId="0" fillId="3" borderId="1" pivotButton="0" quotePrefix="0" xfId="0"/>
    <xf numFmtId="0" fontId="0" fillId="0" borderId="1" pivotButton="0" quotePrefix="0" xfId="0"/>
    <xf numFmtId="165" fontId="9" fillId="3" borderId="1" pivotButton="0" quotePrefix="0" xfId="0"/>
    <xf numFmtId="2" fontId="4" fillId="3" borderId="1" pivotButton="0" quotePrefix="0" xfId="0"/>
    <xf numFmtId="165" fontId="9" fillId="0" borderId="1" pivotButton="0" quotePrefix="0" xfId="0"/>
    <xf numFmtId="2" fontId="4" fillId="0" borderId="1" pivotButton="0" quotePrefix="0" xfId="0"/>
    <xf numFmtId="164" fontId="4" fillId="0" borderId="1" pivotButton="0" quotePrefix="0" xfId="0"/>
    <xf numFmtId="164" fontId="4" fillId="3" borderId="1" pivotButton="0" quotePrefix="0" xfId="0"/>
    <xf numFmtId="0" fontId="7" fillId="2" borderId="1" pivotButton="0" quotePrefix="0" xfId="0"/>
    <xf numFmtId="0" fontId="4"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4"/>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FBA Season 6 Round 2 consolidated data pack: DNSE Securities</t>
        </is>
      </c>
    </row>
    <row r="3">
      <c r="B3" s="2" t="inlineStr">
        <is>
          <t>Every dataset behind the DNSE report, in one file. Compiled 20 to 21 September 2026.</t>
        </is>
      </c>
    </row>
    <row r="5" ht="56" customHeight="1">
      <c r="B5" s="3" t="inlineStr">
        <is>
          <t>What this is</t>
        </is>
      </c>
      <c r="C5" s="4" t="inlineStr">
        <is>
          <t>Five datasets in one workbook. DNSE company financials and market position, the Vietnamese securities industry cross-section, 868 cleaned Google Play reviews of DNSE and two competitors, the complete Global Findex record for Vietnam, and a macro reference sheet. Every computed cell is a formula, so editing an input updates everything downstream.</t>
        </is>
      </c>
    </row>
    <row r="6" ht="84" customHeight="1">
      <c r="B6" s="3" t="inlineStr">
        <is>
          <t>Where the data came from</t>
        </is>
      </c>
      <c r="C6" s="4" t="inlineStr">
        <is>
          <t>Company data from DNSE quarterly financial statements and investor relations releases. Market share from the HOSE and HNX quarterly announcements of 7 July 2026. Industry lending and profit from Q2 2026 financial statements as compiled by Vietstock and Mekong Asean. Findex from the World Bank Open Data API, source 28, country VNM, endpoint api.worldbank.org/v2/sources/28/country/VNM/series/all/data?format=json, which returned 19,878 observations of which 3,022 are non-null. Reviews from the public Google Play listings for vn.com.encapital.arrow, vn.com.vpbs.smartone and com.fpts.eztrade.</t>
        </is>
      </c>
    </row>
    <row r="7" ht="42" customHeight="1">
      <c r="B7" s="3" t="inlineStr">
        <is>
          <t>How to read the colours</t>
        </is>
      </c>
      <c r="C7" s="4" t="inlineStr">
        <is>
          <t>Blue figures are inputs taken directly from a source. Green figures are links to another sheet. Black figures are formulas computed in this workbook. Yellow fill marks an assumption you may want to change. Editing a blue or yellow cell updates every black cell that depends on it.</t>
        </is>
      </c>
    </row>
    <row r="8" ht="56" customHeight="1">
      <c r="B8" s="3" t="inlineStr">
        <is>
          <t>The review data</t>
        </is>
      </c>
      <c r="C8" s="4" t="inlineStr">
        <is>
          <t>867 DNSE reviews, 1,200 VPS and 177 FPTS, pulled 2026-09-23 and cut at 2026-09-21. The cleaning rule is written out in full on the 'Review analysis' sheet and was applied identically to all three applications, so the comparison is like for like. 197 DNSE reviews were removed as loan advertising, referral farming or duplicates.</t>
        </is>
      </c>
    </row>
    <row r="9" ht="56" customHeight="1">
      <c r="B9" s="3" t="inlineStr">
        <is>
          <t>Survey waves covered</t>
        </is>
      </c>
      <c r="C9" s="4" t="inlineStr">
        <is>
          <t>2011, 2014, 2017, 2022 and 2024. Note the labelling: the round usually called Global Findex 2021 is filed under 2022 for Vietnam in the World Bank API, and Vietnam's 2021 slot is empty. This workbook uses the API's own year labels. The 2024 wave was published in the Global Findex 2025 release; fieldwork ran May to December 2024.</t>
        </is>
      </c>
    </row>
    <row r="10" ht="42" customHeight="1">
      <c r="B10" s="3" t="inlineStr">
        <is>
          <t>Sample</t>
        </is>
      </c>
      <c r="C10" s="4" t="inlineStr">
        <is>
          <t>1,000 Vietnamese adults aged 15 and over, 199 variables in the underlying microdata file. All figures here are weighted population estimates, expressed as a percentage of adults aged 15+ unless the label says otherwise.</t>
        </is>
      </c>
    </row>
    <row r="11" ht="42" customHeight="1">
      <c r="B11" s="3" t="inlineStr">
        <is>
          <t>The microdata</t>
        </is>
      </c>
      <c r="C11" s="4" t="inlineStr">
        <is>
          <t>This workbook holds published aggregates. The respondent-level file (1,000 rows, 199 columns) is a separate free download at microdata.worldbank.org/index.php/catalog/7998, reference VNM_2024_FINDEX_v02_M. Download that too if you want to do your own cross-tabulations.</t>
        </is>
      </c>
    </row>
    <row r="12" ht="42" customHeight="1">
      <c r="B12" s="3" t="inlineStr">
        <is>
          <t>Why the segments matter</t>
        </is>
      </c>
      <c r="C12" s="4" t="inlineStr">
        <is>
          <t>Findex publishes every indicator broken down twelve ways: by sex, age band, education, income quintile group, urban or rural, and labour force status. That is a ready-made market segmentation. The 'Segments 2024' sheet is the core table.</t>
        </is>
      </c>
    </row>
    <row r="13" ht="28" customHeight="1">
      <c r="B13" s="3" t="inlineStr">
        <is>
          <t>A caution on precision</t>
        </is>
      </c>
      <c r="C13" s="4" t="inlineStr">
        <is>
          <t>1,000 respondents split twelve ways leaves small cells. Treat differences of a few percentage points as noise and say so in your report. The large gaps, 30 points and more, are real.</t>
        </is>
      </c>
    </row>
    <row r="14" ht="98" customHeight="1">
      <c r="B14" s="3" t="inlineStr">
        <is>
          <t>A caution on definitions</t>
        </is>
      </c>
      <c r="C14" s="4" t="inlineStr">
        <is>
          <t>Findex says 70.6% of Vietnamese adults aged 15+ had an account in 2024. The State Bank puts payment account penetration above 89% of people aged 15+ for H1 2026. The two are directly comparable in denominator and roughly 18 points apart. Both are defensible: one counts people who report having an account when surveyed, the other counts accounts on bank systems, which includes duplicates one person holds across banks. Findex separately finds only 2.1% of adults holding an inactive account, which does not close the gap. Do not mix them in one chart without saying which is which. Naming the discrepancy is worth marks under evidence transparency.</t>
        </is>
      </c>
    </row>
    <row r="15" ht="56" customHeight="1">
      <c r="B15" s="3" t="inlineStr">
        <is>
          <t>Verification</t>
        </is>
      </c>
      <c r="C15" s="4" t="inlineStr">
        <is>
          <t>Every figure on the 'Vietnam reference' sheet was re-checked against primary or Vietnamese-language sources on 20 September 2026. Twelve claims changed on review, including the small-firm credit access ladder, the biometric verification count, bank asset sizes and the brokerage market share tables. Appendix C of the accompanying report lists each one.</t>
        </is>
      </c>
    </row>
    <row r="16" ht="28" customHeight="1">
      <c r="B16" s="3" t="inlineStr">
        <is>
          <t>Licence</t>
        </is>
      </c>
      <c r="C16" s="4" t="inlineStr">
        <is>
          <t>World Bank Open Data, CC BY 4.0. Cite as: World Bank, Global Findex Database 2025. Reproducing it in a student report is fine; say where it came from.</t>
        </is>
      </c>
    </row>
    <row r="18">
      <c r="B18" s="5" t="inlineStr">
        <is>
          <t>Sheets in this workbook</t>
        </is>
      </c>
    </row>
    <row r="19">
      <c r="B19" s="6" t="inlineStr">
        <is>
          <t>DNSE financials</t>
        </is>
      </c>
      <c r="C19" s="7" t="inlineStr">
        <is>
          <t>Quarterly and half-year revenue, profit and balance-sheet lines with computed margins and revenue mix.</t>
        </is>
      </c>
    </row>
    <row r="20">
      <c r="B20" s="6" t="inlineStr">
        <is>
          <t>Market share</t>
        </is>
      </c>
      <c r="C20" s="7" t="inlineStr">
        <is>
          <t>HOSE, HNX and derivatives brokerage share for every firm in the top ten, second quarter of 2026.</t>
        </is>
      </c>
    </row>
    <row r="21">
      <c r="B21" s="6" t="inlineStr">
        <is>
          <t>Industry cross-section</t>
        </is>
      </c>
      <c r="C21" s="7" t="inlineStr">
        <is>
          <t>Lending balances and pre-tax profit for the largest securities firms, with shares of the industry total.</t>
        </is>
      </c>
    </row>
    <row r="22">
      <c r="B22" s="6" t="inlineStr">
        <is>
          <t>DNSE position</t>
        </is>
      </c>
      <c r="C22" s="7" t="inlineStr">
        <is>
          <t>The five share measures that define the monetisation gap, each against its own denominator.</t>
        </is>
      </c>
    </row>
    <row r="23">
      <c r="B23" s="6" t="inlineStr">
        <is>
          <t>Review analysis</t>
        </is>
      </c>
      <c r="C23" s="7" t="inlineStr">
        <is>
          <t>Cleaning log, ratings by year, complaint themes and the three-app comparison.</t>
        </is>
      </c>
    </row>
    <row r="24">
      <c r="B24" s="6" t="inlineStr">
        <is>
          <t>Review quotes</t>
        </is>
      </c>
      <c r="C24" s="7" t="inlineStr">
        <is>
          <t>Fifty selected reviews with rating, date, helpfulness votes and theme tags.</t>
        </is>
      </c>
    </row>
    <row r="25">
      <c r="B25" s="6" t="inlineStr">
        <is>
          <t>Segment model</t>
        </is>
      </c>
      <c r="C25" s="7" t="inlineStr">
        <is>
          <t>The derived priority segment. Every index cell is a formula reading from Segments 2024.</t>
        </is>
      </c>
    </row>
    <row r="26">
      <c r="B26" s="6" t="inlineStr">
        <is>
          <t>Segments 2024</t>
        </is>
      </c>
      <c r="C26" s="7" t="inlineStr">
        <is>
          <t>51 Findex indicators by all twelve Findex segments, latest wave.</t>
        </is>
      </c>
    </row>
    <row r="27">
      <c r="B27" s="6" t="inlineStr">
        <is>
          <t>Segment gaps</t>
        </is>
      </c>
      <c r="C27" s="7" t="inlineStr">
        <is>
          <t>Computed gaps between rich and poor, urban and rural, and by education.</t>
        </is>
      </c>
    </row>
    <row r="28">
      <c r="B28" s="6" t="inlineStr">
        <is>
          <t>National 2024</t>
        </is>
      </c>
      <c r="C28" s="7" t="inlineStr">
        <is>
          <t>Indicators the World Bank publishes only at national level for 2024.</t>
        </is>
      </c>
    </row>
    <row r="29">
      <c r="B29" s="6" t="inlineStr">
        <is>
          <t>Trends</t>
        </is>
      </c>
      <c r="C29" s="7" t="inlineStr">
        <is>
          <t>Headline indicators across all five survey waves, 2011 to 2024.</t>
        </is>
      </c>
    </row>
    <row r="30">
      <c r="B30" s="6" t="inlineStr">
        <is>
          <t>Vietnam reference</t>
        </is>
      </c>
      <c r="C30" s="7" t="inlineStr">
        <is>
          <t>Macro, banking, payments and capital-markets figures with sources and periods.</t>
        </is>
      </c>
    </row>
    <row r="31">
      <c r="B31" s="6" t="inlineStr">
        <is>
          <t>Sources</t>
        </is>
      </c>
      <c r="C31" s="7" t="inlineStr">
        <is>
          <t>Where to get everything else, with links.</t>
        </is>
      </c>
    </row>
    <row r="33">
      <c r="B33" s="5" t="inlineStr">
        <is>
          <t>Findex segment codes</t>
        </is>
      </c>
    </row>
    <row r="34" ht="42" customHeight="1">
      <c r="C34" s="4" t="inlineStr">
        <is>
          <t>Indicator ids ending .1 to .12 are segment cuts of the base indicator: .1 women, .2 men, .3 age 15-24, .4 age 25+, .5 primary education or less, .6 secondary or more, .7 poorest 40%, .8 richest 60%, .9 rural, .10 urban, .11 out of the labour force, .12 in the labour force. A suffix of .s means the figure is a share of a sub-population rather than of all adults.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46" customWidth="1" min="7" max="7"/>
  </cols>
  <sheetData>
    <row r="1">
      <c r="A1" s="1" t="inlineStr">
        <is>
          <t>DNSE Securities: reported financials</t>
        </is>
      </c>
    </row>
    <row r="2">
      <c r="A2" s="8" t="inlineStr">
        <is>
          <t>VND billion unless stated. Blue cells are figures taken directly from DNSE disclosures. Black cells are formulas. Source: DNSE quarterly financial statements and investor relations releases.</t>
        </is>
      </c>
    </row>
    <row r="4" ht="30" customHeight="1">
      <c r="A4" s="9" t="inlineStr">
        <is>
          <t>Line</t>
        </is>
      </c>
      <c r="B4" s="10" t="inlineStr">
        <is>
          <t>FY2025</t>
        </is>
      </c>
      <c r="C4" s="10" t="inlineStr">
        <is>
          <t>Q1 2026</t>
        </is>
      </c>
      <c r="D4" s="10" t="inlineStr">
        <is>
          <t>Q2 2026</t>
        </is>
      </c>
      <c r="E4" s="10" t="inlineStr">
        <is>
          <t>H1 2026</t>
        </is>
      </c>
      <c r="F4" s="10" t="inlineStr">
        <is>
          <t>H1 as % of FY2025</t>
        </is>
      </c>
      <c r="G4" s="10" t="inlineStr">
        <is>
          <t>Note</t>
        </is>
      </c>
    </row>
    <row r="5">
      <c r="A5" s="11" t="inlineStr">
        <is>
          <t>Operating revenue</t>
        </is>
      </c>
      <c r="B5" s="12" t="n">
        <v>1467</v>
      </c>
      <c r="C5" s="12" t="n">
        <v>395</v>
      </c>
      <c r="D5" s="12" t="n">
        <v>453.1</v>
      </c>
      <c r="E5" s="12" t="n">
        <v>848.2</v>
      </c>
      <c r="F5" s="13">
        <f>IF(B5=0,"",E5/B5*100)</f>
        <v/>
      </c>
      <c r="G5" s="14" t="inlineStr">
        <is>
          <t>Half-year revenue of 848.2 reconciles with the two quarterly figures to within rounding.</t>
        </is>
      </c>
    </row>
    <row r="6">
      <c r="A6" s="15" t="inlineStr">
        <is>
          <t>Interest on lending and receivables</t>
        </is>
      </c>
      <c r="B6" s="16" t="n">
        <v>555.8</v>
      </c>
      <c r="C6" s="16" t="n">
        <v>147.5</v>
      </c>
      <c r="D6" s="16" t="n">
        <v>188.6</v>
      </c>
      <c r="E6" s="17">
        <f>C6+D6</f>
        <v/>
      </c>
      <c r="F6" s="18">
        <f>IF(B6=0,"",E6/B6*100)</f>
        <v/>
      </c>
      <c r="G6" s="19" t="inlineStr"/>
    </row>
    <row r="7">
      <c r="A7" s="11" t="inlineStr">
        <is>
          <t>Brokerage commissions</t>
        </is>
      </c>
      <c r="B7" s="12" t="n">
        <v>404</v>
      </c>
      <c r="C7" s="12" t="n">
        <v>119.5</v>
      </c>
      <c r="D7" s="12" t="n">
        <v>102.5</v>
      </c>
      <c r="E7" s="20">
        <f>C7+D7</f>
        <v/>
      </c>
      <c r="F7" s="13">
        <f>IF(B7=0,"",E7/B7*100)</f>
        <v/>
      </c>
      <c r="G7" s="14" t="inlineStr">
        <is>
          <t>Majority derivatives</t>
        </is>
      </c>
    </row>
    <row r="8">
      <c r="A8" s="15" t="inlineStr">
        <is>
          <t>Investment income</t>
        </is>
      </c>
      <c r="B8" s="16" t="n">
        <v>171.4</v>
      </c>
      <c r="C8" s="16" t="n">
        <v>98.40000000000001</v>
      </c>
      <c r="D8" s="16" t="n">
        <v>95</v>
      </c>
      <c r="E8" s="17">
        <f>C8+D8</f>
        <v/>
      </c>
      <c r="F8" s="18">
        <f>IF(B8=0,"",E8/B8*100)</f>
        <v/>
      </c>
      <c r="G8" s="19" t="inlineStr">
        <is>
          <t>FVTPL and held to maturity</t>
        </is>
      </c>
    </row>
    <row r="9">
      <c r="A9" s="11" t="inlineStr">
        <is>
          <t>Other revenue</t>
        </is>
      </c>
      <c r="B9" s="12" t="n">
        <v>335.8</v>
      </c>
      <c r="C9" s="12" t="n">
        <v>29.6</v>
      </c>
      <c r="D9" s="12" t="n">
        <v>67</v>
      </c>
      <c r="E9" s="20">
        <f>C9+D9</f>
        <v/>
      </c>
      <c r="F9" s="13">
        <f>IF(B9=0,"",E9/B9*100)</f>
        <v/>
      </c>
      <c r="G9" s="14" t="inlineStr">
        <is>
          <t>Residual of each column.</t>
        </is>
      </c>
    </row>
    <row r="10">
      <c r="A10" s="15" t="inlineStr">
        <is>
          <t>Pre-tax profit</t>
        </is>
      </c>
      <c r="B10" s="16" t="n">
        <v>340.2</v>
      </c>
      <c r="C10" s="16" t="n">
        <v>14.2</v>
      </c>
      <c r="D10" s="16" t="n">
        <v>98.90000000000001</v>
      </c>
      <c r="E10" s="16" t="n">
        <v>113.1</v>
      </c>
      <c r="F10" s="18">
        <f>IF(B10=0,"",E10/B10*100)</f>
        <v/>
      </c>
      <c r="G10" s="19" t="inlineStr"/>
    </row>
    <row r="11">
      <c r="A11" s="11" t="inlineStr">
        <is>
          <t>Profit after tax</t>
        </is>
      </c>
      <c r="B11" s="12" t="n">
        <v>272.5</v>
      </c>
      <c r="C11" s="12" t="n">
        <v>11.3</v>
      </c>
      <c r="D11" s="12" t="n">
        <v>83</v>
      </c>
      <c r="E11" s="12" t="n">
        <v>94.3</v>
      </c>
      <c r="F11" s="13">
        <f>IF(B11=0,"",E11/B11*100)</f>
        <v/>
      </c>
      <c r="G11" s="14" t="inlineStr"/>
    </row>
    <row r="12">
      <c r="A12" s="15" t="inlineStr">
        <is>
          <t>Margin loans and advances, period end</t>
        </is>
      </c>
      <c r="B12" s="21" t="n">
        <v>5832</v>
      </c>
      <c r="C12" s="21" t="n">
        <v>5910</v>
      </c>
      <c r="D12" s="21" t="n">
        <v>6303</v>
      </c>
      <c r="E12" s="21" t="n">
        <v>6303</v>
      </c>
      <c r="F12" s="18">
        <f>IF(B12=0,"",E12/B12*100)</f>
        <v/>
      </c>
      <c r="G12" s="19" t="inlineStr">
        <is>
          <t>Balance, not a flow. H1 equals the Q2 closing balance. Q2 2026 is a record for the firm.</t>
        </is>
      </c>
    </row>
    <row r="14">
      <c r="A14" s="5" t="inlineStr">
        <is>
          <t>Computed ratios</t>
        </is>
      </c>
    </row>
    <row r="15" ht="30" customHeight="1">
      <c r="A15" s="9" t="inlineStr">
        <is>
          <t>Ratio</t>
        </is>
      </c>
      <c r="B15" s="10" t="inlineStr">
        <is>
          <t>FY2025</t>
        </is>
      </c>
      <c r="C15" s="10" t="inlineStr">
        <is>
          <t>Q1 2026</t>
        </is>
      </c>
      <c r="D15" s="10" t="inlineStr">
        <is>
          <t>Q2 2026</t>
        </is>
      </c>
      <c r="E15" s="10" t="inlineStr">
        <is>
          <t>H1 2026</t>
        </is>
      </c>
      <c r="F15" s="10" t="inlineStr"/>
      <c r="G15" s="10" t="inlineStr">
        <is>
          <t>Note</t>
        </is>
      </c>
    </row>
    <row r="16">
      <c r="A16" s="11" t="inlineStr">
        <is>
          <t>Pre-tax profit margin, per cent</t>
        </is>
      </c>
      <c r="B16" s="13">
        <f>B10/B5*100</f>
        <v/>
      </c>
      <c r="C16" s="13">
        <f>C10/C5*100</f>
        <v/>
      </c>
      <c r="D16" s="13">
        <f>D10/D5*100</f>
        <v/>
      </c>
      <c r="E16" s="13">
        <f>E10/E5*100</f>
        <v/>
      </c>
      <c r="G16" s="14" t="inlineStr">
        <is>
          <t>Falls from 23.2 in 2025 to 13.3 at the 2026 half year</t>
        </is>
      </c>
    </row>
    <row r="17">
      <c r="A17" s="22" t="inlineStr">
        <is>
          <t>Interest on lending and receivables, share of revenue</t>
        </is>
      </c>
      <c r="B17" s="13">
        <f>B6/B5*100</f>
        <v/>
      </c>
      <c r="C17" s="13">
        <f>C6/C5*100</f>
        <v/>
      </c>
      <c r="D17" s="13">
        <f>D6/D5*100</f>
        <v/>
      </c>
      <c r="E17" s="13">
        <f>E6/E5*100</f>
        <v/>
      </c>
    </row>
    <row r="18">
      <c r="A18" s="22" t="inlineStr">
        <is>
          <t>Brokerage commissions, share of revenue</t>
        </is>
      </c>
      <c r="B18" s="13">
        <f>B7/B5*100</f>
        <v/>
      </c>
      <c r="C18" s="13">
        <f>C7/C5*100</f>
        <v/>
      </c>
      <c r="D18" s="13">
        <f>D7/D5*100</f>
        <v/>
      </c>
      <c r="E18" s="13">
        <f>E7/E5*100</f>
        <v/>
      </c>
    </row>
    <row r="19">
      <c r="A19" s="22" t="inlineStr">
        <is>
          <t>Investment income, share of revenue</t>
        </is>
      </c>
      <c r="B19" s="13">
        <f>B8/B5*100</f>
        <v/>
      </c>
      <c r="C19" s="13">
        <f>C8/C5*100</f>
        <v/>
      </c>
      <c r="D19" s="13">
        <f>D8/D5*100</f>
        <v/>
      </c>
      <c r="E19" s="13">
        <f>E8/E5*100</f>
        <v/>
      </c>
    </row>
    <row r="21">
      <c r="A21" s="5" t="inlineStr">
        <is>
          <t>Customers, plan and yield</t>
        </is>
      </c>
    </row>
    <row r="22" ht="30" customHeight="1">
      <c r="A22" s="9" t="inlineStr">
        <is>
          <t>Item</t>
        </is>
      </c>
      <c r="B22" s="10" t="inlineStr">
        <is>
          <t>Value</t>
        </is>
      </c>
      <c r="C22" s="10" t="inlineStr">
        <is>
          <t>Unit</t>
        </is>
      </c>
      <c r="D22" s="10" t="inlineStr"/>
      <c r="E22" s="10" t="inlineStr"/>
      <c r="F22" s="10" t="inlineStr"/>
      <c r="G22" s="10" t="inlineStr">
        <is>
          <t>Source or formula</t>
        </is>
      </c>
    </row>
    <row r="23">
      <c r="A23" s="23" t="inlineStr">
        <is>
          <t>Customer accounts, end 2025</t>
        </is>
      </c>
      <c r="B23" s="21" t="n">
        <v>1500000</v>
      </c>
      <c r="C23" s="23" t="inlineStr">
        <is>
          <t>accounts</t>
        </is>
      </c>
      <c r="D23" s="23" t="n"/>
      <c r="E23" s="23" t="n"/>
      <c r="F23" s="23" t="n"/>
      <c r="G23" s="19" t="inlineStr">
        <is>
          <t>DNSE annual report 2025</t>
        </is>
      </c>
    </row>
    <row r="24">
      <c r="A24" s="22" t="inlineStr">
        <is>
          <t>Customer accounts, Q1 2026</t>
        </is>
      </c>
      <c r="B24" s="24" t="n">
        <v>1650000</v>
      </c>
      <c r="C24" s="22" t="inlineStr">
        <is>
          <t>accounts</t>
        </is>
      </c>
      <c r="D24" s="22" t="n"/>
      <c r="E24" s="22" t="n"/>
      <c r="F24" s="22" t="n"/>
      <c r="G24" s="14" t="inlineStr">
        <is>
          <t>Q1 2026 release</t>
        </is>
      </c>
    </row>
    <row r="25">
      <c r="A25" s="23" t="inlineStr">
        <is>
          <t>Customer accounts, H1 2026</t>
        </is>
      </c>
      <c r="B25" s="21" t="n">
        <v>1700000</v>
      </c>
      <c r="C25" s="23" t="inlineStr">
        <is>
          <t>accounts</t>
        </is>
      </c>
      <c r="D25" s="23" t="n"/>
      <c r="E25" s="23" t="n"/>
      <c r="F25" s="23" t="n"/>
      <c r="G25" s="19" t="inlineStr">
        <is>
          <t>H1 2026 release, stated as over 1.7 million</t>
        </is>
      </c>
    </row>
    <row r="26">
      <c r="A26" s="22" t="inlineStr">
        <is>
          <t>Share of new accounts opened, 2025</t>
        </is>
      </c>
      <c r="B26" s="12" t="n">
        <v>20</v>
      </c>
      <c r="C26" s="22" t="inlineStr">
        <is>
          <t>per cent</t>
        </is>
      </c>
      <c r="D26" s="22" t="n"/>
      <c r="E26" s="22" t="n"/>
      <c r="F26" s="22" t="n"/>
      <c r="G26" s="14" t="inlineStr">
        <is>
          <t>DNSE annual report 2025</t>
        </is>
      </c>
    </row>
    <row r="27">
      <c r="A27" s="23" t="inlineStr">
        <is>
          <t>Share of new accounts opened, Q1 2026</t>
        </is>
      </c>
      <c r="B27" s="16" t="n">
        <v>18</v>
      </c>
      <c r="C27" s="23" t="inlineStr">
        <is>
          <t>per cent</t>
        </is>
      </c>
      <c r="D27" s="23" t="n"/>
      <c r="E27" s="23" t="n"/>
      <c r="F27" s="23" t="n"/>
      <c r="G27" s="19" t="inlineStr">
        <is>
          <t>Q1 2026 release, 142,000 accounts</t>
        </is>
      </c>
    </row>
    <row r="28">
      <c r="A28" s="22" t="inlineStr">
        <is>
          <t>2026 revenue target</t>
        </is>
      </c>
      <c r="B28" s="12" t="n">
        <v>1736</v>
      </c>
      <c r="C28" s="22" t="inlineStr">
        <is>
          <t>VND bn</t>
        </is>
      </c>
      <c r="D28" s="22" t="n"/>
      <c r="E28" s="22" t="n"/>
      <c r="F28" s="22" t="n"/>
      <c r="G28" s="14" t="inlineStr">
        <is>
          <t>2026 annual general meeting</t>
        </is>
      </c>
    </row>
    <row r="29">
      <c r="A29" s="23" t="inlineStr">
        <is>
          <t>2026 pre-tax profit target</t>
        </is>
      </c>
      <c r="B29" s="16" t="n">
        <v>550</v>
      </c>
      <c r="C29" s="23" t="inlineStr">
        <is>
          <t>VND bn</t>
        </is>
      </c>
      <c r="D29" s="23" t="n"/>
      <c r="E29" s="23" t="n"/>
      <c r="F29" s="23" t="n"/>
      <c r="G29" s="19" t="inlineStr">
        <is>
          <t>2026 annual general meeting</t>
        </is>
      </c>
    </row>
    <row r="30">
      <c r="A30" s="22" t="inlineStr">
        <is>
          <t>Charter capital</t>
        </is>
      </c>
      <c r="B30" s="12" t="n">
        <v>4286</v>
      </c>
      <c r="C30" s="22" t="inlineStr">
        <is>
          <t>VND bn</t>
        </is>
      </c>
      <c r="D30" s="22" t="n"/>
      <c r="E30" s="22" t="n"/>
      <c r="F30" s="22" t="n"/>
      <c r="G30" s="14" t="inlineStr">
        <is>
          <t>428.6 million shares</t>
        </is>
      </c>
    </row>
    <row r="31">
      <c r="A31" s="23" t="inlineStr">
        <is>
          <t>Customer assets, end 2025</t>
        </is>
      </c>
      <c r="B31" s="16" t="n">
        <v>52000</v>
      </c>
      <c r="C31" s="23" t="inlineStr">
        <is>
          <t>VND bn</t>
        </is>
      </c>
      <c r="D31" s="23" t="n"/>
      <c r="E31" s="23" t="n"/>
      <c r="F31" s="23" t="n"/>
      <c r="G31" s="19" t="inlineStr">
        <is>
          <t>DNSE annual report 2025, approximate</t>
        </is>
      </c>
    </row>
    <row r="33">
      <c r="A33" s="5" t="inlineStr">
        <is>
          <t>Derived measures</t>
        </is>
      </c>
    </row>
    <row r="34" ht="30" customHeight="1">
      <c r="A34" s="9" t="inlineStr">
        <is>
          <t>Measure</t>
        </is>
      </c>
      <c r="B34" s="10" t="inlineStr">
        <is>
          <t>Value</t>
        </is>
      </c>
      <c r="C34" s="10" t="inlineStr"/>
      <c r="D34" s="10" t="inlineStr"/>
      <c r="E34" s="10" t="inlineStr"/>
      <c r="F34" s="10" t="inlineStr"/>
      <c r="G34" s="10" t="inlineStr">
        <is>
          <t>Definition</t>
        </is>
      </c>
    </row>
    <row r="35">
      <c r="A35" s="15" t="inlineStr">
        <is>
          <t>Revenue per account, H1 2026, VND thousand</t>
        </is>
      </c>
      <c r="B35" s="25">
        <f>E5*1000000/B25</f>
        <v/>
      </c>
      <c r="C35" s="23" t="n"/>
      <c r="D35" s="23" t="n"/>
      <c r="E35" s="23" t="n"/>
      <c r="F35" s="23" t="n"/>
      <c r="G35" s="19" t="inlineStr">
        <is>
          <t>Half-year operating revenue divided by accounts</t>
        </is>
      </c>
    </row>
    <row r="36">
      <c r="A36" s="11" t="inlineStr">
        <is>
          <t>Brokerage revenue per account, H1 2026, VND thousand</t>
        </is>
      </c>
      <c r="B36" s="26">
        <f>E7*1000000/B25</f>
        <v/>
      </c>
      <c r="C36" s="22" t="n"/>
      <c r="D36" s="22" t="n"/>
      <c r="E36" s="22" t="n"/>
      <c r="F36" s="22" t="n"/>
      <c r="G36" s="14" t="inlineStr">
        <is>
          <t>Half-year brokerage commissions divided by accounts</t>
        </is>
      </c>
    </row>
    <row r="37">
      <c r="A37" s="15" t="inlineStr">
        <is>
          <t>Customer assets per account, end 2025, VND million</t>
        </is>
      </c>
      <c r="B37" s="27">
        <f>B31*1000/B23</f>
        <v/>
      </c>
      <c r="C37" s="23" t="n"/>
      <c r="D37" s="23" t="n"/>
      <c r="E37" s="23" t="n"/>
      <c r="F37" s="23" t="n"/>
      <c r="G37" s="19" t="inlineStr">
        <is>
          <t>Approximate customer assets divided by accounts</t>
        </is>
      </c>
    </row>
    <row r="38">
      <c r="A38" s="11" t="inlineStr">
        <is>
          <t>Implied annual yield on lending, per cent</t>
        </is>
      </c>
      <c r="B38" s="13">
        <f>E6/AVERAGE(B12:D12)*2*100</f>
        <v/>
      </c>
      <c r="C38" s="22" t="n"/>
      <c r="D38" s="22" t="n"/>
      <c r="E38" s="22" t="n"/>
      <c r="F38" s="22" t="n"/>
      <c r="G38" s="14" t="inlineStr">
        <is>
          <t>Half-year interest divided by the average of the end-2025, Q1 and Q2 closing balances, annualised. The numerator includes interest on receivables, so this slightly overstates the margin yield</t>
        </is>
      </c>
    </row>
    <row r="39">
      <c r="A39" s="15" t="inlineStr">
        <is>
          <t>H1 revenue as a share of the 2026 target, per cent</t>
        </is>
      </c>
      <c r="B39" s="18">
        <f>E5/B28*100</f>
        <v/>
      </c>
      <c r="C39" s="23" t="n"/>
      <c r="D39" s="23" t="n"/>
      <c r="E39" s="23" t="n"/>
      <c r="F39" s="23" t="n"/>
      <c r="G39" s="19" t="inlineStr">
        <is>
          <t>Half-year pace would be 50</t>
        </is>
      </c>
    </row>
    <row r="40">
      <c r="A40" s="11" t="inlineStr">
        <is>
          <t>H1 profit as a share of the 2026 target, per cent</t>
        </is>
      </c>
      <c r="B40" s="13">
        <f>E10/B29*100</f>
        <v/>
      </c>
      <c r="C40" s="22" t="n"/>
      <c r="D40" s="22" t="n"/>
      <c r="E40" s="22" t="n"/>
      <c r="F40" s="22" t="n"/>
      <c r="G40" s="14" t="inlineStr">
        <is>
          <t>Half-year pace would be 50</t>
        </is>
      </c>
    </row>
    <row r="41">
      <c r="A41" s="15" t="inlineStr">
        <is>
          <t>Pre-tax profit still required in H2 2026, VND bn</t>
        </is>
      </c>
      <c r="B41" s="17">
        <f>B29-E10</f>
        <v/>
      </c>
      <c r="C41" s="23" t="n"/>
      <c r="D41" s="23" t="n"/>
      <c r="E41" s="23" t="n"/>
      <c r="F41" s="23" t="n"/>
      <c r="G41" s="19" t="inlineStr">
        <is>
          <t>Target less the half-year result</t>
        </is>
      </c>
    </row>
    <row r="42">
      <c r="A42" s="11" t="inlineStr">
        <is>
          <t>H2 requirement as a multiple of H1</t>
        </is>
      </c>
      <c r="B42" s="28">
        <f>(B29-E10)/E10</f>
        <v/>
      </c>
      <c r="C42" s="22" t="n"/>
      <c r="D42" s="22" t="n"/>
      <c r="E42" s="22" t="n"/>
      <c r="F42" s="22" t="n"/>
      <c r="G42" s="14"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40" customWidth="1" min="7" max="7"/>
  </cols>
  <sheetData>
    <row r="1">
      <c r="A1" s="1" t="inlineStr">
        <is>
          <t>Brokerage market share, second quarter of 2026</t>
        </is>
      </c>
    </row>
    <row r="2">
      <c r="A2" s="8" t="inlineStr">
        <is>
          <t>Each percentage is a share of traded value on the named market. Shares from different markets are not comparable with one another. Sources: HOSE and HNX quarterly announcements of 7 July 2026.</t>
        </is>
      </c>
    </row>
    <row r="4" ht="30" customHeight="1">
      <c r="A4" s="9" t="inlineStr">
        <is>
          <t>Firm</t>
        </is>
      </c>
      <c r="B4" s="10" t="inlineStr">
        <is>
          <t>HOSE Q2 2026</t>
        </is>
      </c>
      <c r="C4" s="10" t="inlineStr">
        <is>
          <t>HOSE Q1 2026</t>
        </is>
      </c>
      <c r="D4" s="10" t="inlineStr">
        <is>
          <t>HOSE change, points</t>
        </is>
      </c>
      <c r="E4" s="10" t="inlineStr">
        <is>
          <t>HNX Q2 2026</t>
        </is>
      </c>
      <c r="F4" s="10" t="inlineStr">
        <is>
          <t>Derivatives Q2 2026</t>
        </is>
      </c>
      <c r="G4" s="10" t="inlineStr">
        <is>
          <t>Note</t>
        </is>
      </c>
    </row>
    <row r="5">
      <c r="A5" s="11" t="inlineStr">
        <is>
          <t>VPS</t>
        </is>
      </c>
      <c r="B5" s="29" t="n">
        <v>12.61</v>
      </c>
      <c r="C5" s="29" t="n">
        <v>15.32</v>
      </c>
      <c r="D5" s="30">
        <f>IF(OR(B5="",C5=""),"",B5-C5)</f>
        <v/>
      </c>
      <c r="E5" s="29" t="n">
        <v>17.71</v>
      </c>
      <c r="F5" s="29" t="n">
        <v>33.84</v>
      </c>
      <c r="G5" s="14" t="inlineStr">
        <is>
          <t>Leads every market but lost 2.71 points of HOSE share in one quarter</t>
        </is>
      </c>
    </row>
    <row r="6">
      <c r="A6" s="15" t="inlineStr">
        <is>
          <t>SSI</t>
        </is>
      </c>
      <c r="B6" s="31" t="n">
        <v>11.17</v>
      </c>
      <c r="C6" s="31" t="n">
        <v>11.14</v>
      </c>
      <c r="D6" s="32">
        <f>IF(OR(B6="",C6=""),"",B6-C6)</f>
        <v/>
      </c>
      <c r="E6" s="31" t="n"/>
      <c r="F6" s="31" t="n">
        <v>8.210000000000001</v>
      </c>
      <c r="G6" s="19" t="inlineStr"/>
    </row>
    <row r="7">
      <c r="A7" s="11" t="inlineStr">
        <is>
          <t>TCBS</t>
        </is>
      </c>
      <c r="B7" s="29" t="n">
        <v>9.359999999999999</v>
      </c>
      <c r="C7" s="29" t="n">
        <v>8.85</v>
      </c>
      <c r="D7" s="30">
        <f>IF(OR(B7="",C7=""),"",B7-C7)</f>
        <v/>
      </c>
      <c r="E7" s="29" t="n">
        <v>9</v>
      </c>
      <c r="F7" s="29" t="n"/>
      <c r="G7" s="14" t="inlineStr">
        <is>
          <t>Largest lending book in the industry</t>
        </is>
      </c>
    </row>
    <row r="8">
      <c r="A8" s="15" t="inlineStr">
        <is>
          <t>Vietcap</t>
        </is>
      </c>
      <c r="B8" s="31" t="n">
        <v>7</v>
      </c>
      <c r="C8" s="31" t="n">
        <v>7.35</v>
      </c>
      <c r="D8" s="32">
        <f>IF(OR(B8="",C8=""),"",B8-C8)</f>
        <v/>
      </c>
      <c r="E8" s="31" t="n">
        <v>2.86</v>
      </c>
      <c r="F8" s="31" t="n"/>
      <c r="G8" s="19" t="inlineStr"/>
    </row>
    <row r="9">
      <c r="A9" s="11" t="inlineStr">
        <is>
          <t>HSC</t>
        </is>
      </c>
      <c r="B9" s="29" t="n">
        <v>6.8</v>
      </c>
      <c r="C9" s="29" t="n">
        <v>7.3</v>
      </c>
      <c r="D9" s="30">
        <f>IF(OR(B9="",C9=""),"",B9-C9)</f>
        <v/>
      </c>
      <c r="E9" s="29" t="n"/>
      <c r="F9" s="29" t="n"/>
      <c r="G9" s="14" t="inlineStr"/>
    </row>
    <row r="10">
      <c r="A10" s="15" t="inlineStr">
        <is>
          <t>MBS</t>
        </is>
      </c>
      <c r="B10" s="31" t="n">
        <v>4.79</v>
      </c>
      <c r="C10" s="31" t="n">
        <v>5.29</v>
      </c>
      <c r="D10" s="32">
        <f>IF(OR(B10="",C10=""),"",B10-C10)</f>
        <v/>
      </c>
      <c r="E10" s="31" t="n"/>
      <c r="F10" s="31" t="n"/>
      <c r="G10" s="19" t="inlineStr"/>
    </row>
    <row r="11">
      <c r="A11" s="11" t="inlineStr">
        <is>
          <t>VNDirect</t>
        </is>
      </c>
      <c r="B11" s="29" t="n">
        <v>3.96</v>
      </c>
      <c r="C11" s="29" t="n">
        <v>4.78</v>
      </c>
      <c r="D11" s="30">
        <f>IF(OR(B11="",C11=""),"",B11-C11)</f>
        <v/>
      </c>
      <c r="E11" s="29" t="n"/>
      <c r="F11" s="29" t="n"/>
      <c r="G11" s="14" t="inlineStr"/>
    </row>
    <row r="12">
      <c r="A12" s="15" t="inlineStr">
        <is>
          <t>VPBankS</t>
        </is>
      </c>
      <c r="B12" s="31" t="n">
        <v>3.57</v>
      </c>
      <c r="C12" s="31" t="n">
        <v>2.94</v>
      </c>
      <c r="D12" s="32">
        <f>IF(OR(B12="",C12=""),"",B12-C12)</f>
        <v/>
      </c>
      <c r="E12" s="31" t="n">
        <v>6.71</v>
      </c>
      <c r="F12" s="31" t="n"/>
      <c r="G12" s="19" t="inlineStr">
        <is>
          <t>Largest gainer of the quarter on both exchanges</t>
        </is>
      </c>
    </row>
    <row r="13">
      <c r="A13" s="11" t="inlineStr">
        <is>
          <t>KIS Vietnam</t>
        </is>
      </c>
      <c r="B13" s="29" t="n">
        <v>2.99</v>
      </c>
      <c r="C13" s="29" t="n">
        <v>3.21</v>
      </c>
      <c r="D13" s="30">
        <f>IF(OR(B13="",C13=""),"",B13-C13)</f>
        <v/>
      </c>
      <c r="E13" s="29" t="n"/>
      <c r="F13" s="29" t="n"/>
      <c r="G13" s="14" t="inlineStr"/>
    </row>
    <row r="14">
      <c r="A14" s="15" t="inlineStr">
        <is>
          <t>Mirae Asset Vietnam</t>
        </is>
      </c>
      <c r="B14" s="31" t="n">
        <v>2.94</v>
      </c>
      <c r="C14" s="31" t="n">
        <v>2.82</v>
      </c>
      <c r="D14" s="32">
        <f>IF(OR(B14="",C14=""),"",B14-C14)</f>
        <v/>
      </c>
      <c r="E14" s="31" t="n"/>
      <c r="F14" s="31" t="n"/>
      <c r="G14" s="19" t="inlineStr"/>
    </row>
    <row r="15">
      <c r="A15" s="11" t="inlineStr">
        <is>
          <t>BSC</t>
        </is>
      </c>
      <c r="B15" s="22" t="inlineStr">
        <is>
          <t>outside top ten</t>
        </is>
      </c>
      <c r="C15" s="22" t="n"/>
      <c r="D15" s="22" t="n"/>
      <c r="E15" s="29" t="n">
        <v>3.58</v>
      </c>
      <c r="F15" s="29" t="n"/>
      <c r="G15" s="14" t="inlineStr"/>
    </row>
    <row r="16">
      <c r="A16" s="15" t="inlineStr">
        <is>
          <t>DNSE</t>
        </is>
      </c>
      <c r="B16" s="23" t="inlineStr">
        <is>
          <t>outside top ten</t>
        </is>
      </c>
      <c r="C16" s="23" t="n"/>
      <c r="D16" s="23" t="n"/>
      <c r="E16" s="31" t="n">
        <v>2.88</v>
      </c>
      <c r="F16" s="31" t="n">
        <v>25.38</v>
      </c>
      <c r="G16" s="19" t="inlineStr">
        <is>
          <t>Second in derivatives, eighth on HNX, outside the top ten on HOSE</t>
        </is>
      </c>
    </row>
    <row r="17">
      <c r="A17" s="11" t="inlineStr">
        <is>
          <t>VIX</t>
        </is>
      </c>
      <c r="B17" s="22" t="inlineStr">
        <is>
          <t>outside top ten</t>
        </is>
      </c>
      <c r="C17" s="22" t="n"/>
      <c r="D17" s="22" t="n"/>
      <c r="E17" s="29" t="n">
        <v>2.66</v>
      </c>
      <c r="F17" s="29" t="n"/>
      <c r="G17" s="14" t="inlineStr"/>
    </row>
    <row r="18">
      <c r="A18" s="11" t="inlineStr">
        <is>
          <t>Sum of the firms listed above</t>
        </is>
      </c>
      <c r="B18" s="30">
        <f>SUM(B5:B17)</f>
        <v/>
      </c>
      <c r="C18" s="30">
        <f>SUM(C5:C17)</f>
        <v/>
      </c>
      <c r="D18" s="22" t="n"/>
      <c r="E18" s="30">
        <f>SUM(E5:E17)</f>
        <v/>
      </c>
      <c r="F18" s="30">
        <f>SUM(F5:F17)</f>
        <v/>
      </c>
      <c r="G18" s="14" t="inlineStr">
        <is>
          <t>HOSE column should reconcile to the top-ten total of 65.19</t>
        </is>
      </c>
    </row>
    <row r="19">
      <c r="A19" s="11" t="inlineStr">
        <is>
          <t>Published top ten total</t>
        </is>
      </c>
      <c r="B19" s="29" t="n">
        <v>65.19</v>
      </c>
      <c r="C19" s="29" t="n">
        <v>69.05</v>
      </c>
      <c r="D19" s="22" t="n"/>
      <c r="E19" s="29" t="n">
        <v>63.2</v>
      </c>
      <c r="F19" s="29" t="n">
        <v>94.52</v>
      </c>
      <c r="G19" s="14" t="inlineStr">
        <is>
          <t>HNX and derivatives columns include only the firms whose figures were published</t>
        </is>
      </c>
    </row>
    <row r="22">
      <c r="A22" s="5" t="inlineStr">
        <is>
          <t>DNSE derivatives brokerage share by quarter</t>
        </is>
      </c>
    </row>
    <row r="23" ht="30" customHeight="1">
      <c r="A23" s="9" t="inlineStr">
        <is>
          <t>Quarter</t>
        </is>
      </c>
      <c r="B23" s="10" t="inlineStr">
        <is>
          <t>Share, per cent</t>
        </is>
      </c>
      <c r="C23" s="10" t="inlineStr">
        <is>
          <t>Change on previous, points</t>
        </is>
      </c>
      <c r="D23" s="10" t="inlineStr"/>
      <c r="E23" s="10" t="inlineStr"/>
      <c r="F23" s="10" t="inlineStr"/>
      <c r="G23" s="10" t="inlineStr">
        <is>
          <t>Source</t>
        </is>
      </c>
    </row>
    <row r="24">
      <c r="A24" s="23" t="inlineStr">
        <is>
          <t>Q1 2024</t>
        </is>
      </c>
      <c r="B24" s="31" t="n">
        <v>4.01</v>
      </c>
      <c r="C24" s="32" t="inlineStr"/>
      <c r="D24" s="23" t="n"/>
      <c r="E24" s="23" t="n"/>
      <c r="F24" s="23" t="n"/>
      <c r="G24" s="33" t="inlineStr">
        <is>
          <t>HNX quarterly announcement</t>
        </is>
      </c>
    </row>
    <row r="25">
      <c r="A25" s="22" t="inlineStr">
        <is>
          <t>Q4 2024</t>
        </is>
      </c>
      <c r="B25" s="29" t="n">
        <v>9.98</v>
      </c>
      <c r="C25" s="30">
        <f>B25-B24</f>
        <v/>
      </c>
      <c r="D25" s="22" t="n"/>
      <c r="E25" s="22" t="n"/>
      <c r="F25" s="22" t="n"/>
      <c r="G25" s="34" t="inlineStr">
        <is>
          <t>HNX quarterly announcement</t>
        </is>
      </c>
    </row>
    <row r="26">
      <c r="A26" s="23" t="inlineStr">
        <is>
          <t>Q1 2025</t>
        </is>
      </c>
      <c r="B26" s="31" t="n">
        <v>16.7</v>
      </c>
      <c r="C26" s="32">
        <f>B26-B25</f>
        <v/>
      </c>
      <c r="D26" s="23" t="n"/>
      <c r="E26" s="23" t="n"/>
      <c r="F26" s="23" t="n"/>
      <c r="G26" s="33" t="inlineStr">
        <is>
          <t>HNX quarterly announcement</t>
        </is>
      </c>
    </row>
    <row r="27">
      <c r="A27" s="22" t="inlineStr">
        <is>
          <t>Q2 2025</t>
        </is>
      </c>
      <c r="B27" s="29" t="n">
        <v>17.33</v>
      </c>
      <c r="C27" s="30">
        <f>B27-B26</f>
        <v/>
      </c>
      <c r="D27" s="22" t="n"/>
      <c r="E27" s="22" t="n"/>
      <c r="F27" s="22" t="n"/>
      <c r="G27" s="34" t="inlineStr">
        <is>
          <t>HNX quarterly announcement</t>
        </is>
      </c>
    </row>
    <row r="28">
      <c r="A28" s="23" t="inlineStr">
        <is>
          <t>Q3 2025</t>
        </is>
      </c>
      <c r="B28" s="31" t="n">
        <v>23.67</v>
      </c>
      <c r="C28" s="32">
        <f>B28-B27</f>
        <v/>
      </c>
      <c r="D28" s="23" t="n"/>
      <c r="E28" s="23" t="n"/>
      <c r="F28" s="23" t="n"/>
      <c r="G28" s="33" t="inlineStr">
        <is>
          <t>HNX quarterly announcement</t>
        </is>
      </c>
    </row>
    <row r="29">
      <c r="A29" s="22" t="inlineStr">
        <is>
          <t>Q4 2025</t>
        </is>
      </c>
      <c r="B29" s="29" t="n">
        <v>24.26</v>
      </c>
      <c r="C29" s="30">
        <f>B29-B28</f>
        <v/>
      </c>
      <c r="D29" s="22" t="n"/>
      <c r="E29" s="22" t="n"/>
      <c r="F29" s="22" t="n"/>
      <c r="G29" s="34" t="inlineStr">
        <is>
          <t>HNX quarterly announcement</t>
        </is>
      </c>
    </row>
    <row r="30">
      <c r="A30" s="23" t="inlineStr">
        <is>
          <t>Q1 2026</t>
        </is>
      </c>
      <c r="B30" s="31" t="n">
        <v>25.5</v>
      </c>
      <c r="C30" s="32">
        <f>B30-B29</f>
        <v/>
      </c>
      <c r="D30" s="23" t="n"/>
      <c r="E30" s="23" t="n"/>
      <c r="F30" s="23" t="n"/>
      <c r="G30" s="33" t="inlineStr">
        <is>
          <t>HNX quarterly announcement</t>
        </is>
      </c>
    </row>
    <row r="31">
      <c r="A31" s="22" t="inlineStr">
        <is>
          <t>Q2 2026</t>
        </is>
      </c>
      <c r="B31" s="29" t="n">
        <v>25.38</v>
      </c>
      <c r="C31" s="30">
        <f>B31-B30</f>
        <v/>
      </c>
      <c r="D31" s="22" t="n"/>
      <c r="E31" s="22" t="n"/>
      <c r="F31" s="22" t="n"/>
      <c r="G31" s="34" t="inlineStr">
        <is>
          <t>HNX quarterly announcement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20" customWidth="1" min="2" max="2"/>
    <col width="20" customWidth="1" min="3" max="3"/>
    <col width="20" customWidth="1" min="4" max="4"/>
    <col width="20" customWidth="1" min="5" max="5"/>
    <col width="44" customWidth="1" min="6" max="6"/>
  </cols>
  <sheetData>
    <row r="1">
      <c r="A1" s="1" t="inlineStr">
        <is>
          <t>Vietnamese securities industry, second quarter of 2026</t>
        </is>
      </c>
    </row>
    <row r="2">
      <c r="A2" s="8" t="inlineStr">
        <is>
          <t>Lending balances and pre-tax profit from quarterly financial statements. Shares are formulas against the industry total in the assumption cell below.</t>
        </is>
      </c>
    </row>
    <row r="4" ht="30" customHeight="1">
      <c r="A4" s="9" t="inlineStr">
        <is>
          <t>Firm</t>
        </is>
      </c>
      <c r="B4" s="10" t="inlineStr">
        <is>
          <t>Lending balance, VND bn</t>
        </is>
      </c>
      <c r="C4" s="10" t="inlineStr">
        <is>
          <t>Share of industry, per cent</t>
        </is>
      </c>
      <c r="D4" s="10" t="inlineStr">
        <is>
          <t>Q2 2026 pre-tax profit, VND bn</t>
        </is>
      </c>
      <c r="E4" s="10" t="inlineStr">
        <is>
          <t>HOSE brokerage share, per cent</t>
        </is>
      </c>
      <c r="F4" s="10" t="inlineStr">
        <is>
          <t>Note</t>
        </is>
      </c>
    </row>
    <row r="5">
      <c r="A5" s="15" t="inlineStr">
        <is>
          <t>TCBS</t>
        </is>
      </c>
      <c r="B5" s="21" t="n">
        <v>51500</v>
      </c>
      <c r="C5" s="32">
        <f>IF(B5="","",B5/$B$14*100)</f>
        <v/>
      </c>
      <c r="D5" s="16" t="n">
        <v>2097</v>
      </c>
      <c r="E5" s="31" t="n">
        <v>9.359999999999999</v>
      </c>
      <c r="F5" s="19" t="inlineStr">
        <is>
          <t>Year on year +21%</t>
        </is>
      </c>
    </row>
    <row r="6">
      <c r="A6" s="11" t="inlineStr">
        <is>
          <t>SSI</t>
        </is>
      </c>
      <c r="B6" s="24" t="n">
        <v>40500</v>
      </c>
      <c r="C6" s="30">
        <f>IF(B6="","",B6/$B$14*100)</f>
        <v/>
      </c>
      <c r="D6" s="12" t="n">
        <v>1511</v>
      </c>
      <c r="E6" s="29" t="n">
        <v>11.17</v>
      </c>
      <c r="F6" s="14" t="inlineStr">
        <is>
          <t>Year on year +32%</t>
        </is>
      </c>
    </row>
    <row r="7">
      <c r="A7" s="15" t="inlineStr">
        <is>
          <t>VPBankS</t>
        </is>
      </c>
      <c r="B7" s="21" t="n">
        <v>38200</v>
      </c>
      <c r="C7" s="32">
        <f>IF(B7="","",B7/$B$14*100)</f>
        <v/>
      </c>
      <c r="D7" s="16" t="n">
        <v>2159</v>
      </c>
      <c r="E7" s="31" t="n">
        <v>3.57</v>
      </c>
      <c r="F7" s="19" t="inlineStr">
        <is>
          <t>Year on year about four times</t>
        </is>
      </c>
    </row>
    <row r="8">
      <c r="A8" s="11" t="inlineStr">
        <is>
          <t>VPS</t>
        </is>
      </c>
      <c r="B8" s="24" t="n">
        <v>31300</v>
      </c>
      <c r="C8" s="30">
        <f>IF(B8="","",B8/$B$14*100)</f>
        <v/>
      </c>
      <c r="D8" s="12" t="n">
        <v>1378</v>
      </c>
      <c r="E8" s="29" t="n">
        <v>12.61</v>
      </c>
      <c r="F8" s="14" t="inlineStr">
        <is>
          <t>Year on year +57%</t>
        </is>
      </c>
    </row>
    <row r="9">
      <c r="A9" s="15" t="inlineStr">
        <is>
          <t>HSC</t>
        </is>
      </c>
      <c r="B9" s="21" t="n">
        <v>29000</v>
      </c>
      <c r="C9" s="32">
        <f>IF(B9="","",B9/$B$14*100)</f>
        <v/>
      </c>
      <c r="D9" s="16" t="n"/>
      <c r="E9" s="31" t="n">
        <v>6.8</v>
      </c>
      <c r="F9" s="19" t="inlineStr"/>
    </row>
    <row r="10">
      <c r="A10" s="11" t="inlineStr">
        <is>
          <t>DNSE</t>
        </is>
      </c>
      <c r="B10" s="24" t="n">
        <v>6303</v>
      </c>
      <c r="C10" s="30">
        <f>IF(B10="","",B10/$B$14*100)</f>
        <v/>
      </c>
      <c r="D10" s="12" t="n">
        <v>98.90000000000001</v>
      </c>
      <c r="E10" s="29" t="n"/>
      <c r="F10" s="14" t="inlineStr">
        <is>
          <t>Year on year +8.7%</t>
        </is>
      </c>
    </row>
    <row r="11">
      <c r="A11" s="15" t="inlineStr">
        <is>
          <t>VNDirect</t>
        </is>
      </c>
      <c r="B11" s="21" t="n"/>
      <c r="C11" s="32">
        <f>IF(B11="","",B11/$B$14*100)</f>
        <v/>
      </c>
      <c r="D11" s="16" t="n">
        <v>1100</v>
      </c>
      <c r="E11" s="31" t="n">
        <v>3.96</v>
      </c>
      <c r="F11" s="19" t="inlineStr">
        <is>
          <t>Year on year +127%</t>
        </is>
      </c>
    </row>
    <row r="12">
      <c r="A12" s="11" t="inlineStr">
        <is>
          <t>VIX</t>
        </is>
      </c>
      <c r="B12" s="24" t="n"/>
      <c r="C12" s="30">
        <f>IF(B12="","",B12/$B$14*100)</f>
        <v/>
      </c>
      <c r="D12" s="12" t="n">
        <v>75</v>
      </c>
      <c r="E12" s="29" t="n"/>
      <c r="F12" s="14" t="inlineStr">
        <is>
          <t>Year on year -95%</t>
        </is>
      </c>
    </row>
    <row r="13">
      <c r="A13" s="11" t="inlineStr">
        <is>
          <t>Firms listed above</t>
        </is>
      </c>
      <c r="B13" s="35">
        <f>SUM(B5:B12)</f>
        <v/>
      </c>
      <c r="C13" s="30">
        <f>B13/$B$14*100</f>
        <v/>
      </c>
      <c r="D13" s="20">
        <f>SUM(D5:D12)</f>
        <v/>
      </c>
      <c r="E13" s="22" t="n"/>
      <c r="F13" s="34" t="inlineStr"/>
    </row>
    <row r="14" ht="40" customHeight="1">
      <c r="A14" s="36" t="inlineStr">
        <is>
          <t>Industry total lending</t>
        </is>
      </c>
      <c r="B14" s="37" t="n">
        <v>453800</v>
      </c>
      <c r="C14" s="38" t="n"/>
      <c r="D14" s="38" t="n"/>
      <c r="E14" s="38" t="n"/>
      <c r="F14" s="39" t="inlineStr">
        <is>
          <t>The 453,800 figure is total lending, which includes advances against sale proceeds. Press estimates of margin lending alone for the same date cluster around 445,000.</t>
        </is>
      </c>
    </row>
    <row r="16">
      <c r="A16" s="22" t="inlineStr">
        <is>
          <t>Previous quarter industry total</t>
        </is>
      </c>
      <c r="B16" s="24" t="n">
        <v>424100</v>
      </c>
      <c r="C16" s="13">
        <f>(B14-B16)/B16*100</f>
        <v/>
      </c>
      <c r="D16" s="22" t="n"/>
      <c r="E16" s="22" t="n"/>
      <c r="F16" s="14" t="inlineStr">
        <is>
          <t>Quarterly growth in industry lending, per cent, reported as 7</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20" customWidth="1" min="2" max="2"/>
    <col width="20" customWidth="1" min="3" max="3"/>
    <col width="22" customWidth="1" min="4" max="4"/>
    <col width="18" customWidth="1" min="5" max="5"/>
    <col width="44" customWidth="1" min="6" max="6"/>
  </cols>
  <sheetData>
    <row r="1">
      <c r="A1" s="1" t="inlineStr">
        <is>
          <t>Where DNSE is large and where it is small</t>
        </is>
      </c>
    </row>
    <row r="2">
      <c r="A2" s="8" t="inlineStr">
        <is>
          <t>Each row compares DNSE against its own denominator. The five denominators differ, so the rows measure position in five separate markets rather than five slices of one market.</t>
        </is>
      </c>
    </row>
    <row r="4" ht="30" customHeight="1">
      <c r="A4" s="9" t="inlineStr">
        <is>
          <t>Measure</t>
        </is>
      </c>
      <c r="B4" s="10" t="inlineStr">
        <is>
          <t>DNSE</t>
        </is>
      </c>
      <c r="C4" s="10" t="inlineStr">
        <is>
          <t>Market total</t>
        </is>
      </c>
      <c r="D4" s="10" t="inlineStr">
        <is>
          <t>Unit</t>
        </is>
      </c>
      <c r="E4" s="10" t="inlineStr">
        <is>
          <t>DNSE share, per cent</t>
        </is>
      </c>
      <c r="F4" s="10" t="inlineStr">
        <is>
          <t>Source</t>
        </is>
      </c>
    </row>
    <row r="5">
      <c r="A5" s="15" t="inlineStr">
        <is>
          <t>Customer accounts</t>
        </is>
      </c>
      <c r="B5" s="21" t="n">
        <v>1700000</v>
      </c>
      <c r="C5" s="21" t="n">
        <v>13852633</v>
      </c>
      <c r="D5" s="23" t="inlineStr">
        <is>
          <t>accounts</t>
        </is>
      </c>
      <c r="E5" s="32">
        <f>IF(B5="","",B5/C5*100)</f>
        <v/>
      </c>
      <c r="F5" s="19" t="inlineStr">
        <is>
          <t>13.80 million domestic individual accounts plus 52,633 foreign accounts, end August 2026, VSDC</t>
        </is>
      </c>
    </row>
    <row r="6">
      <c r="A6" s="11" t="inlineStr">
        <is>
          <t>Derivatives brokerage</t>
        </is>
      </c>
      <c r="B6" s="12" t="n">
        <v>25.38</v>
      </c>
      <c r="C6" s="12" t="n">
        <v>100</v>
      </c>
      <c r="D6" s="22" t="inlineStr">
        <is>
          <t>per cent of traded value</t>
        </is>
      </c>
      <c r="E6" s="30">
        <f>IF(B6="","",B6/C6*100)</f>
        <v/>
      </c>
      <c r="F6" s="14" t="inlineStr">
        <is>
          <t>HNX Q2 2026 announcement</t>
        </is>
      </c>
    </row>
    <row r="7">
      <c r="A7" s="15" t="inlineStr">
        <is>
          <t>HNX listed-share brokerage</t>
        </is>
      </c>
      <c r="B7" s="16" t="n">
        <v>2.88</v>
      </c>
      <c r="C7" s="16" t="n">
        <v>100</v>
      </c>
      <c r="D7" s="23" t="inlineStr">
        <is>
          <t>per cent of traded value</t>
        </is>
      </c>
      <c r="E7" s="32">
        <f>IF(B7="","",B7/C7*100)</f>
        <v/>
      </c>
      <c r="F7" s="19" t="inlineStr">
        <is>
          <t>HNX Q2 2026 announcement, rank 8 of 10</t>
        </is>
      </c>
    </row>
    <row r="8">
      <c r="A8" s="11" t="inlineStr">
        <is>
          <t>HOSE listed-share brokerage</t>
        </is>
      </c>
      <c r="B8" s="12" t="n"/>
      <c r="C8" s="12" t="n">
        <v>100</v>
      </c>
      <c r="D8" s="22" t="inlineStr">
        <is>
          <t>per cent of traded value</t>
        </is>
      </c>
      <c r="E8" s="30">
        <f>IF(B8="","",B8/C8*100)</f>
        <v/>
      </c>
      <c r="F8" s="14" t="inlineStr">
        <is>
          <t>Not in the top ten. Tenth place held 2.94 per cent, so DNSE is below that</t>
        </is>
      </c>
    </row>
    <row r="9">
      <c r="A9" s="15" t="inlineStr">
        <is>
          <t>Lending balance</t>
        </is>
      </c>
      <c r="B9" s="16" t="n">
        <v>6303</v>
      </c>
      <c r="C9" s="16" t="n">
        <v>453800</v>
      </c>
      <c r="D9" s="23" t="inlineStr">
        <is>
          <t>VND bn</t>
        </is>
      </c>
      <c r="E9" s="32">
        <f>IF(B9="","",B9/C9*100)</f>
        <v/>
      </c>
      <c r="F9" s="19" t="inlineStr">
        <is>
          <t>Q2 2026 financial statements, industry total from Vietstock</t>
        </is>
      </c>
    </row>
    <row r="10">
      <c r="A10" s="11" t="inlineStr">
        <is>
          <t>Q2 2026 pre-tax profit</t>
        </is>
      </c>
      <c r="B10" s="12" t="n">
        <v>98.90000000000001</v>
      </c>
      <c r="C10" s="40">
        <f>'Industry cross-section'!D13</f>
        <v/>
      </c>
      <c r="D10" s="22" t="inlineStr">
        <is>
          <t>VND bn</t>
        </is>
      </c>
      <c r="E10" s="30">
        <f>IF(B10="","",B10/C10*100)</f>
        <v/>
      </c>
      <c r="F10" s="14" t="inlineStr">
        <is>
          <t>Sum of the firms on the Industry cross-section sheet</t>
        </is>
      </c>
    </row>
    <row r="12">
      <c r="A12" s="5" t="inlineStr">
        <is>
          <t>The monetisation gap</t>
        </is>
      </c>
    </row>
    <row r="13" ht="30" customHeight="1">
      <c r="A13" s="9" t="inlineStr">
        <is>
          <t>Ratio</t>
        </is>
      </c>
      <c r="B13" s="10" t="inlineStr">
        <is>
          <t>Value</t>
        </is>
      </c>
      <c r="C13" s="10" t="inlineStr"/>
      <c r="D13" s="10" t="inlineStr"/>
      <c r="E13" s="10" t="inlineStr"/>
      <c r="F13" s="10" t="inlineStr">
        <is>
          <t>Reading</t>
        </is>
      </c>
    </row>
    <row r="14">
      <c r="A14" s="11" t="inlineStr">
        <is>
          <t>HNX trading share divided by account share</t>
        </is>
      </c>
      <c r="B14" s="41">
        <f>E7/E5</f>
        <v/>
      </c>
      <c r="C14" s="22" t="n"/>
      <c r="D14" s="22" t="n"/>
      <c r="E14" s="22" t="n"/>
      <c r="F14" s="14" t="inlineStr">
        <is>
          <t>An average DNSE account trades at this fraction of the value of an average market account</t>
        </is>
      </c>
    </row>
    <row r="15">
      <c r="A15" s="11" t="inlineStr">
        <is>
          <t>Lending share divided by account share</t>
        </is>
      </c>
      <c r="B15" s="41">
        <f>E9/E5</f>
        <v/>
      </c>
      <c r="C15" s="22" t="n"/>
      <c r="D15" s="22" t="n"/>
      <c r="E15" s="22" t="n"/>
      <c r="F15" s="14" t="inlineStr">
        <is>
          <t>An average DNSE account carries this fraction of the borrowing of an average market account</t>
        </is>
      </c>
    </row>
    <row r="16">
      <c r="A16" s="11" t="inlineStr">
        <is>
          <t>Derivatives share divided by account share</t>
        </is>
      </c>
      <c r="B16" s="41">
        <f>E6/E5</f>
        <v/>
      </c>
      <c r="C16" s="22" t="n"/>
      <c r="D16" s="22" t="n"/>
      <c r="E16" s="22" t="n"/>
      <c r="F16" s="14" t="inlineStr">
        <is>
          <t>Above one, so the derivatives franchise runs ahead of the account base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16"/>
  <sheetViews>
    <sheetView showGridLines="0"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46" customWidth="1" min="7" max="7"/>
  </cols>
  <sheetData>
    <row r="1">
      <c r="A1" s="1" t="inlineStr">
        <is>
          <t>Google Play reviews: DNSE Entrade X and two competitors</t>
        </is>
      </c>
    </row>
    <row r="2">
      <c r="A2" s="8" t="inlineStr">
        <is>
          <t>Collected 20 to 21 September 2026 from the public Google Play listings. The cleaning rule described below was applied identically to all three applications.</t>
        </is>
      </c>
    </row>
    <row r="4">
      <c r="A4" s="5" t="inlineStr">
        <is>
          <t>Method</t>
        </is>
      </c>
    </row>
    <row r="5" ht="26" customHeight="1">
      <c r="A5" s="3" t="inlineStr">
        <is>
          <t>Retrieval</t>
        </is>
      </c>
      <c r="B5" s="4" t="inlineStr">
        <is>
          <t>Google Play public review listing, paginated through the store's own continuation token. Fields captured: review id, author, star rating, text, timestamp, helpfulness votes. No authentication.</t>
        </is>
      </c>
    </row>
    <row r="6" ht="52" customHeight="1">
      <c r="A6" s="3" t="inlineStr">
        <is>
          <t>Normalisation</t>
        </is>
      </c>
      <c r="B6" s="4" t="inlineStr">
        <is>
          <t>Every review text was converted to a comparable form before filtering: Unicode compatibility composition, then decomposition with combining marks removed, then lower case. The first step matters because much of the loan spam disguises itself with mathematical alphanumeric characters such as VayTotNhat, which plain keyword filters miss.</t>
        </is>
      </c>
    </row>
    <row r="7" ht="26" customHeight="1">
      <c r="A7" s="3" t="inlineStr">
        <is>
          <t>Loan spam rule</t>
        </is>
      </c>
      <c r="B7" s="4" t="inlineStr">
        <is>
          <t>vay 9 | vaytotnhat | vay t?o?t nhat | ktien | vayhangdau | vay333 | vayfe | fbvay | c0m | vay 0 % | vay von 0</t>
        </is>
      </c>
    </row>
    <row r="8" ht="78" customHeight="1">
      <c r="A8" s="3" t="inlineStr">
        <is>
          <t>Referral spam rule</t>
        </is>
      </c>
      <c r="B8" s="4" t="inlineStr">
        <is>
          <t>A referral phrase (nhap ma, ma gioi thieu, ma nguoi gioi thieu, ma gt, ma gth, ma moi, ma dai ly, ma vip, ma nhan thuong) within 40 characters of a code or a reward amount; or a code within 20 characters of a reward amount; or a six-digit code written against 'ma'. A code is six digits that are not a round sum or one repeated digit, or four to eight capitals and digits with at least one of each (MFBCFA only after a named referral phrase), excluding VN30 futures, index and covered-warrant codes. A phrase alone is not enough: 'nhap ma OTP' is an onboarding complaint and 'ma moi' is also 'mà mỗi'.</t>
        </is>
      </c>
    </row>
    <row r="9" ht="39" customHeight="1">
      <c r="A9" s="3" t="inlineStr">
        <is>
          <t>Duplicate rule</t>
        </is>
      </c>
      <c r="B9" s="4" t="inlineStr">
        <is>
          <t>The same normalised text of 20 or more alphanumeric characters, or the same text again from the same author. The earliest copy is kept. Short texts such as 'good' recur because many people write them, so they stay in and are handled by the generic flag.</t>
        </is>
      </c>
    </row>
    <row r="10" ht="39" customHeight="1">
      <c r="A10" s="3" t="inlineStr">
        <is>
          <t>Generic flag</t>
        </is>
      </c>
      <c r="B10" s="4" t="inlineStr">
        <is>
          <t>A retained review of a single word carrying no theme, for example tot, hay, ok. Counted separately rather than removed, so that a year full of one-word praise cannot be read as satisfaction. The sensitivity table below repeats the split under two- and four-word rules.</t>
        </is>
      </c>
    </row>
    <row r="11" ht="39" customHeight="1">
      <c r="A11" s="3" t="inlineStr">
        <is>
          <t>Theme tags</t>
        </is>
      </c>
      <c r="B11" s="4" t="inlineStr">
        <is>
          <t>Non-exclusive whole-word keyword matches on the normalised text. Syllables that collide once tone marks are removed (lỗi/lời/lợi, lừa/lựa, sập/sắp, thưởng/thường) are matched with their accents or inside longer phrases. A review may carry several themes or none.</t>
        </is>
      </c>
    </row>
    <row r="12" ht="26" customHeight="1">
      <c r="A12" s="3" t="inlineStr">
        <is>
          <t>Revision</t>
        </is>
      </c>
      <c r="B12" s="4" t="inlineStr">
        <is>
          <t>The rules were revised on 23 September 2026 after a code audit. Re-running the previous rules on the same pull reproduces the earlier published cleaning log exactly.</t>
        </is>
      </c>
    </row>
    <row r="13" ht="39" customHeight="1">
      <c r="A13" s="3" t="inlineStr">
        <is>
          <t>Known limitation</t>
        </is>
      </c>
      <c r="B13" s="4" t="inlineStr">
        <is>
          <t>App store reviews are self-selected and over-represent dissatisfied users. The peer comparison mitigates this partially, because the same bias applies to all three applications. The VPS sample is its 1,200 most recent reviews, back to 2023-03-27; the listing goes back further.</t>
        </is>
      </c>
    </row>
    <row r="15">
      <c r="A15" s="5" t="inlineStr">
        <is>
          <t>Cleaning log</t>
        </is>
      </c>
    </row>
    <row r="16" ht="30" customHeight="1">
      <c r="A16" s="9" t="inlineStr">
        <is>
          <t>Stage</t>
        </is>
      </c>
      <c r="B16" s="10" t="inlineStr">
        <is>
          <t>DNSE</t>
        </is>
      </c>
      <c r="C16" s="10" t="inlineStr">
        <is>
          <t>VPS SmartOne</t>
        </is>
      </c>
      <c r="D16" s="10" t="inlineStr">
        <is>
          <t>FPTS EzTrade</t>
        </is>
      </c>
      <c r="E16" s="10" t="inlineStr"/>
      <c r="F16" s="10" t="inlineStr"/>
      <c r="G16" s="10" t="inlineStr">
        <is>
          <t>Note</t>
        </is>
      </c>
    </row>
    <row r="17">
      <c r="A17" s="15" t="inlineStr">
        <is>
          <t>Reviews retrieved</t>
        </is>
      </c>
      <c r="B17" s="21" t="n">
        <v>867</v>
      </c>
      <c r="C17" s="21" t="n">
        <v>1200</v>
      </c>
      <c r="D17" s="21" t="n">
        <v>177</v>
      </c>
      <c r="E17" s="23" t="n"/>
      <c r="F17" s="23" t="n"/>
      <c r="G17" s="19" t="inlineStr">
        <is>
          <t>Full available history except VPS, its 1,200 most recent</t>
        </is>
      </c>
    </row>
    <row r="18">
      <c r="A18" s="11" t="inlineStr">
        <is>
          <t>Loan advertising removed</t>
        </is>
      </c>
      <c r="B18" s="24" t="n">
        <v>127</v>
      </c>
      <c r="C18" s="24" t="n">
        <v>23</v>
      </c>
      <c r="D18" s="24" t="n">
        <v>0</v>
      </c>
      <c r="E18" s="22" t="n"/>
      <c r="F18" s="22" t="n"/>
      <c r="G18" s="14" t="inlineStr"/>
    </row>
    <row r="19">
      <c r="A19" s="15" t="inlineStr">
        <is>
          <t>Referral farming removed</t>
        </is>
      </c>
      <c r="B19" s="21" t="n">
        <v>70</v>
      </c>
      <c r="C19" s="21" t="n">
        <v>3</v>
      </c>
      <c r="D19" s="21" t="n">
        <v>0</v>
      </c>
      <c r="E19" s="23" t="n"/>
      <c r="F19" s="23" t="n"/>
      <c r="G19" s="19" t="inlineStr"/>
    </row>
    <row r="20">
      <c r="A20" s="11" t="inlineStr">
        <is>
          <t>Duplicates removed</t>
        </is>
      </c>
      <c r="B20" s="24" t="n">
        <v>0</v>
      </c>
      <c r="C20" s="24" t="n">
        <v>3</v>
      </c>
      <c r="D20" s="24" t="n">
        <v>0</v>
      </c>
      <c r="E20" s="22" t="n"/>
      <c r="F20" s="22" t="n"/>
      <c r="G20" s="14" t="inlineStr"/>
    </row>
    <row r="21">
      <c r="A21" s="15" t="inlineStr">
        <is>
          <t>Reviews retained</t>
        </is>
      </c>
      <c r="B21" s="21" t="n">
        <v>670</v>
      </c>
      <c r="C21" s="21" t="n">
        <v>1171</v>
      </c>
      <c r="D21" s="21" t="n">
        <v>177</v>
      </c>
      <c r="E21" s="23" t="n"/>
      <c r="F21" s="23" t="n"/>
      <c r="G21" s="19" t="inlineStr"/>
    </row>
    <row r="22">
      <c r="A22" s="22" t="inlineStr">
        <is>
          <t>Removed as a share of the pull, per cent</t>
        </is>
      </c>
      <c r="B22" s="13">
        <f>(B17-B21)/B17*100</f>
        <v/>
      </c>
      <c r="C22" s="13">
        <f>(C17-C21)/C17*100</f>
        <v/>
      </c>
      <c r="D22" s="13">
        <f>(D17-D21)/D17*100</f>
        <v/>
      </c>
      <c r="E22" s="22" t="n"/>
      <c r="F22" s="22" t="n"/>
      <c r="G22" s="34" t="inlineStr"/>
    </row>
    <row r="23">
      <c r="A23" s="22" t="inlineStr">
        <is>
          <t>Mean rating before cleaning</t>
        </is>
      </c>
      <c r="B23" s="42" t="n">
        <v>3.29</v>
      </c>
      <c r="C23" s="42" t="n">
        <v>2.597</v>
      </c>
      <c r="D23" s="42" t="n">
        <v>2.181</v>
      </c>
      <c r="E23" s="22" t="n"/>
      <c r="F23" s="22" t="n"/>
      <c r="G23" s="14" t="inlineStr"/>
    </row>
    <row r="24">
      <c r="A24" s="22" t="inlineStr">
        <is>
          <t>Mean rating after cleaning</t>
        </is>
      </c>
      <c r="B24" s="42" t="n">
        <v>3.218</v>
      </c>
      <c r="C24" s="42" t="n">
        <v>2.582</v>
      </c>
      <c r="D24" s="42" t="n">
        <v>2.181</v>
      </c>
      <c r="E24" s="22" t="n"/>
      <c r="F24" s="22" t="n"/>
      <c r="G24" s="14" t="inlineStr"/>
    </row>
    <row r="25">
      <c r="A25" s="22" t="inlineStr">
        <is>
          <t>Mean rating of removed material</t>
        </is>
      </c>
      <c r="B25" s="42" t="n">
        <v>3.533</v>
      </c>
      <c r="C25" s="42" t="n">
        <v>3.207</v>
      </c>
      <c r="D25" s="42" t="n"/>
      <c r="E25" s="22" t="n"/>
      <c r="F25" s="22" t="n"/>
      <c r="G25" s="14" t="inlineStr">
        <is>
          <t>Cleaning lowers the DNSE mean because the spam removed is rated more favourably than the genuine reviews left behind</t>
        </is>
      </c>
    </row>
    <row r="27">
      <c r="A27" s="5" t="inlineStr">
        <is>
          <t>DNSE ratings by year</t>
        </is>
      </c>
    </row>
    <row r="28" ht="30" customHeight="1">
      <c r="A28" s="9" t="inlineStr">
        <is>
          <t>Year</t>
        </is>
      </c>
      <c r="B28" s="10" t="inlineStr">
        <is>
          <t>Retrieved</t>
        </is>
      </c>
      <c r="C28" s="10" t="inlineStr">
        <is>
          <t>Removed</t>
        </is>
      </c>
      <c r="D28" s="10" t="inlineStr">
        <is>
          <t>Removed, per cent</t>
        </is>
      </c>
      <c r="E28" s="10" t="inlineStr">
        <is>
          <t>Retained</t>
        </is>
      </c>
      <c r="F28" s="10" t="inlineStr">
        <is>
          <t>Mean, retained</t>
        </is>
      </c>
      <c r="G28" s="10" t="inlineStr">
        <is>
          <t>Generic, of retained</t>
        </is>
      </c>
    </row>
    <row r="29">
      <c r="A29" s="15" t="inlineStr">
        <is>
          <t>2020</t>
        </is>
      </c>
      <c r="B29" s="21" t="n">
        <v>3</v>
      </c>
      <c r="C29" s="21" t="n">
        <v>0</v>
      </c>
      <c r="D29" s="18">
        <f>C29/B29*100</f>
        <v/>
      </c>
      <c r="E29" s="43">
        <f>B29-C29</f>
        <v/>
      </c>
      <c r="F29" s="44" t="n">
        <v>3.667</v>
      </c>
      <c r="G29" s="21" t="n">
        <v>0</v>
      </c>
    </row>
    <row r="30">
      <c r="A30" s="11" t="inlineStr">
        <is>
          <t>2021</t>
        </is>
      </c>
      <c r="B30" s="24" t="n">
        <v>72</v>
      </c>
      <c r="C30" s="24" t="n">
        <v>8</v>
      </c>
      <c r="D30" s="13">
        <f>C30/B30*100</f>
        <v/>
      </c>
      <c r="E30" s="35">
        <f>B30-C30</f>
        <v/>
      </c>
      <c r="F30" s="42" t="n">
        <v>2.031</v>
      </c>
      <c r="G30" s="24" t="n">
        <v>4</v>
      </c>
    </row>
    <row r="31">
      <c r="A31" s="15" t="inlineStr">
        <is>
          <t>2022</t>
        </is>
      </c>
      <c r="B31" s="21" t="n">
        <v>207</v>
      </c>
      <c r="C31" s="21" t="n">
        <v>96</v>
      </c>
      <c r="D31" s="18">
        <f>C31/B31*100</f>
        <v/>
      </c>
      <c r="E31" s="43">
        <f>B31-C31</f>
        <v/>
      </c>
      <c r="F31" s="44" t="n">
        <v>3.18</v>
      </c>
      <c r="G31" s="21" t="n">
        <v>20</v>
      </c>
    </row>
    <row r="32">
      <c r="A32" s="11" t="inlineStr">
        <is>
          <t>2023</t>
        </is>
      </c>
      <c r="B32" s="24" t="n">
        <v>154</v>
      </c>
      <c r="C32" s="24" t="n">
        <v>83</v>
      </c>
      <c r="D32" s="13">
        <f>C32/B32*100</f>
        <v/>
      </c>
      <c r="E32" s="35">
        <f>B32-C32</f>
        <v/>
      </c>
      <c r="F32" s="42" t="n">
        <v>2.676</v>
      </c>
      <c r="G32" s="24" t="n">
        <v>7</v>
      </c>
    </row>
    <row r="33">
      <c r="A33" s="15" t="inlineStr">
        <is>
          <t>2024</t>
        </is>
      </c>
      <c r="B33" s="21" t="n">
        <v>202</v>
      </c>
      <c r="C33" s="21" t="n">
        <v>9</v>
      </c>
      <c r="D33" s="18">
        <f>C33/B33*100</f>
        <v/>
      </c>
      <c r="E33" s="43">
        <f>B33-C33</f>
        <v/>
      </c>
      <c r="F33" s="44" t="n">
        <v>4.352</v>
      </c>
      <c r="G33" s="21" t="n">
        <v>65</v>
      </c>
    </row>
    <row r="34">
      <c r="A34" s="11" t="inlineStr">
        <is>
          <t>2025</t>
        </is>
      </c>
      <c r="B34" s="24" t="n">
        <v>159</v>
      </c>
      <c r="C34" s="24" t="n">
        <v>1</v>
      </c>
      <c r="D34" s="13">
        <f>C34/B34*100</f>
        <v/>
      </c>
      <c r="E34" s="35">
        <f>B34-C34</f>
        <v/>
      </c>
      <c r="F34" s="42" t="n">
        <v>2.646</v>
      </c>
      <c r="G34" s="24" t="n">
        <v>19</v>
      </c>
    </row>
    <row r="35">
      <c r="A35" s="15" t="inlineStr">
        <is>
          <t>2026</t>
        </is>
      </c>
      <c r="B35" s="21" t="n">
        <v>70</v>
      </c>
      <c r="C35" s="21" t="n">
        <v>0</v>
      </c>
      <c r="D35" s="18">
        <f>C35/B35*100</f>
        <v/>
      </c>
      <c r="E35" s="43">
        <f>B35-C35</f>
        <v/>
      </c>
      <c r="F35" s="44" t="n">
        <v>3.057</v>
      </c>
      <c r="G35" s="21" t="n">
        <v>9</v>
      </c>
    </row>
    <row r="36">
      <c r="A36" s="11" t="inlineStr">
        <is>
          <t>Total</t>
        </is>
      </c>
      <c r="B36" s="45">
        <f>SUM(B29:B35)</f>
        <v/>
      </c>
      <c r="C36" s="45">
        <f>SUM(C29:C35)</f>
        <v/>
      </c>
      <c r="D36" s="46">
        <f>C36/B36*100</f>
        <v/>
      </c>
      <c r="E36" s="45">
        <f>SUM(E29:E35)</f>
        <v/>
      </c>
      <c r="F36" s="42" t="n">
        <v>3.218</v>
      </c>
      <c r="G36" s="45">
        <f>SUM(G29:G35)</f>
        <v/>
      </c>
    </row>
    <row r="38">
      <c r="A38" s="5" t="inlineStr">
        <is>
          <t>DNSE substantive ratings by year</t>
        </is>
      </c>
    </row>
    <row r="39" ht="30" customHeight="1">
      <c r="A39" s="9" t="inlineStr">
        <is>
          <t>Year</t>
        </is>
      </c>
      <c r="B39" s="10" t="inlineStr">
        <is>
          <t>Substantive reviews</t>
        </is>
      </c>
      <c r="C39" s="10" t="inlineStr">
        <is>
          <t>Mean rating</t>
        </is>
      </c>
      <c r="D39" s="10" t="inlineStr">
        <is>
          <t>Generic share of retained, per cent</t>
        </is>
      </c>
      <c r="E39" s="10" t="inlineStr"/>
      <c r="F39" s="10" t="inlineStr"/>
      <c r="G39" s="10" t="inlineStr">
        <is>
          <t>Reading</t>
        </is>
      </c>
    </row>
    <row r="40">
      <c r="A40" s="15" t="inlineStr">
        <is>
          <t>2020</t>
        </is>
      </c>
      <c r="B40" s="21" t="n">
        <v>3</v>
      </c>
      <c r="C40" s="44" t="n">
        <v>3.667</v>
      </c>
      <c r="D40" s="47" t="n">
        <v>0</v>
      </c>
      <c r="E40" s="23" t="n"/>
      <c r="F40" s="23" t="n"/>
      <c r="G40" s="19" t="inlineStr"/>
    </row>
    <row r="41">
      <c r="A41" s="11" t="inlineStr">
        <is>
          <t>2021</t>
        </is>
      </c>
      <c r="B41" s="24" t="n">
        <v>60</v>
      </c>
      <c r="C41" s="42" t="n">
        <v>1.833</v>
      </c>
      <c r="D41" s="48" t="n">
        <v>6.2</v>
      </c>
      <c r="E41" s="22" t="n"/>
      <c r="F41" s="22" t="n"/>
      <c r="G41" s="14" t="inlineStr"/>
    </row>
    <row r="42">
      <c r="A42" s="15" t="inlineStr">
        <is>
          <t>2022</t>
        </is>
      </c>
      <c r="B42" s="21" t="n">
        <v>91</v>
      </c>
      <c r="C42" s="44" t="n">
        <v>2.846</v>
      </c>
      <c r="D42" s="47" t="n">
        <v>18</v>
      </c>
      <c r="E42" s="23" t="n"/>
      <c r="F42" s="23" t="n"/>
      <c r="G42" s="19" t="inlineStr"/>
    </row>
    <row r="43">
      <c r="A43" s="11" t="inlineStr">
        <is>
          <t>2023</t>
        </is>
      </c>
      <c r="B43" s="24" t="n">
        <v>64</v>
      </c>
      <c r="C43" s="42" t="n">
        <v>2.422</v>
      </c>
      <c r="D43" s="48" t="n">
        <v>9.9</v>
      </c>
      <c r="E43" s="22" t="n"/>
      <c r="F43" s="22" t="n"/>
      <c r="G43" s="14" t="inlineStr"/>
    </row>
    <row r="44">
      <c r="A44" s="15" t="inlineStr">
        <is>
          <t>2024</t>
        </is>
      </c>
      <c r="B44" s="21" t="n">
        <v>128</v>
      </c>
      <c r="C44" s="44" t="n">
        <v>4.148</v>
      </c>
      <c r="D44" s="47" t="n">
        <v>33.7</v>
      </c>
      <c r="E44" s="23" t="n"/>
      <c r="F44" s="23" t="n"/>
      <c r="G44" s="19" t="inlineStr">
        <is>
          <t>Highest mean of any year, and also the highest share of one-word reviews</t>
        </is>
      </c>
    </row>
    <row r="45">
      <c r="A45" s="11" t="inlineStr">
        <is>
          <t>2025</t>
        </is>
      </c>
      <c r="B45" s="24" t="n">
        <v>139</v>
      </c>
      <c r="C45" s="42" t="n">
        <v>2.381</v>
      </c>
      <c r="D45" s="48" t="n">
        <v>12</v>
      </c>
      <c r="E45" s="22" t="n"/>
      <c r="F45" s="22" t="n"/>
      <c r="G45" s="14" t="inlineStr">
        <is>
          <t>Substantive rating falls by 1.77 stars on a sample of 139 against 128</t>
        </is>
      </c>
    </row>
    <row r="46">
      <c r="A46" s="15" t="inlineStr">
        <is>
          <t>2026</t>
        </is>
      </c>
      <c r="B46" s="21" t="n">
        <v>61</v>
      </c>
      <c r="C46" s="44" t="n">
        <v>2.852</v>
      </c>
      <c r="D46" s="47" t="n">
        <v>12.9</v>
      </c>
      <c r="E46" s="23" t="n"/>
      <c r="F46" s="23" t="n"/>
      <c r="G46" s="19" t="inlineStr"/>
    </row>
    <row r="48">
      <c r="A48" s="5" t="inlineStr">
        <is>
          <t>Generic-flag sensitivity</t>
        </is>
      </c>
    </row>
    <row r="49" ht="30" customHeight="1">
      <c r="A49" s="9" t="inlineStr">
        <is>
          <t>Year</t>
        </is>
      </c>
      <c r="B49" s="10" t="inlineStr">
        <is>
          <t>Retained</t>
        </is>
      </c>
      <c r="C49" s="10" t="inlineStr">
        <is>
          <t>Generic %, 1 word</t>
        </is>
      </c>
      <c r="D49" s="10" t="inlineStr">
        <is>
          <t>Substantive mean, 1 word</t>
        </is>
      </c>
      <c r="E49" s="10" t="inlineStr">
        <is>
          <t>Generic %, 4 words</t>
        </is>
      </c>
      <c r="F49" s="10" t="inlineStr">
        <is>
          <t>Substantive mean, 4 words</t>
        </is>
      </c>
      <c r="G49" s="10" t="inlineStr">
        <is>
          <t>Reading</t>
        </is>
      </c>
    </row>
    <row r="50">
      <c r="A50" s="15" t="inlineStr">
        <is>
          <t>2020</t>
        </is>
      </c>
      <c r="B50" s="21" t="n">
        <v>3</v>
      </c>
      <c r="C50" s="47" t="n">
        <v>0</v>
      </c>
      <c r="D50" s="44" t="n">
        <v>3.667</v>
      </c>
      <c r="E50" s="47" t="n">
        <v>33.3</v>
      </c>
      <c r="F50" s="44" t="n">
        <v>3</v>
      </c>
      <c r="G50" s="19" t="inlineStr"/>
    </row>
    <row r="51">
      <c r="A51" s="11" t="inlineStr">
        <is>
          <t>2021</t>
        </is>
      </c>
      <c r="B51" s="24" t="n">
        <v>64</v>
      </c>
      <c r="C51" s="48" t="n">
        <v>6.2</v>
      </c>
      <c r="D51" s="42" t="n">
        <v>1.833</v>
      </c>
      <c r="E51" s="48" t="n">
        <v>26.6</v>
      </c>
      <c r="F51" s="42" t="n">
        <v>1.745</v>
      </c>
      <c r="G51" s="14" t="inlineStr"/>
    </row>
    <row r="52">
      <c r="A52" s="15" t="inlineStr">
        <is>
          <t>2022</t>
        </is>
      </c>
      <c r="B52" s="21" t="n">
        <v>111</v>
      </c>
      <c r="C52" s="47" t="n">
        <v>18</v>
      </c>
      <c r="D52" s="44" t="n">
        <v>2.846</v>
      </c>
      <c r="E52" s="47" t="n">
        <v>34.2</v>
      </c>
      <c r="F52" s="44" t="n">
        <v>2.493</v>
      </c>
      <c r="G52" s="19" t="inlineStr"/>
    </row>
    <row r="53">
      <c r="A53" s="11" t="inlineStr">
        <is>
          <t>2023</t>
        </is>
      </c>
      <c r="B53" s="24" t="n">
        <v>71</v>
      </c>
      <c r="C53" s="48" t="n">
        <v>9.9</v>
      </c>
      <c r="D53" s="42" t="n">
        <v>2.422</v>
      </c>
      <c r="E53" s="48" t="n">
        <v>16.9</v>
      </c>
      <c r="F53" s="42" t="n">
        <v>2.22</v>
      </c>
      <c r="G53" s="14" t="inlineStr"/>
    </row>
    <row r="54">
      <c r="A54" s="15" t="inlineStr">
        <is>
          <t>2024</t>
        </is>
      </c>
      <c r="B54" s="21" t="n">
        <v>193</v>
      </c>
      <c r="C54" s="47" t="n">
        <v>33.7</v>
      </c>
      <c r="D54" s="44" t="n">
        <v>4.148</v>
      </c>
      <c r="E54" s="47" t="n">
        <v>62.7</v>
      </c>
      <c r="F54" s="44" t="n">
        <v>3.736</v>
      </c>
      <c r="G54" s="19" t="inlineStr"/>
    </row>
    <row r="55">
      <c r="A55" s="11" t="inlineStr">
        <is>
          <t>2025</t>
        </is>
      </c>
      <c r="B55" s="24" t="n">
        <v>158</v>
      </c>
      <c r="C55" s="48" t="n">
        <v>12</v>
      </c>
      <c r="D55" s="42" t="n">
        <v>2.381</v>
      </c>
      <c r="E55" s="48" t="n">
        <v>25.9</v>
      </c>
      <c r="F55" s="42" t="n">
        <v>2.009</v>
      </c>
      <c r="G55" s="14" t="inlineStr">
        <is>
          <t>The 2024 to 2025 fall holds under either rule</t>
        </is>
      </c>
    </row>
    <row r="56">
      <c r="A56" s="15" t="inlineStr">
        <is>
          <t>2026</t>
        </is>
      </c>
      <c r="B56" s="21" t="n">
        <v>70</v>
      </c>
      <c r="C56" s="47" t="n">
        <v>12.9</v>
      </c>
      <c r="D56" s="44" t="n">
        <v>2.852</v>
      </c>
      <c r="E56" s="47" t="n">
        <v>25.7</v>
      </c>
      <c r="F56" s="44" t="n">
        <v>2.481</v>
      </c>
      <c r="G56" s="19" t="inlineStr"/>
    </row>
    <row r="58">
      <c r="A58" s="5" t="inlineStr">
        <is>
          <t>Complaint themes</t>
        </is>
      </c>
    </row>
    <row r="59" ht="30" customHeight="1">
      <c r="A59" s="9" t="inlineStr">
        <is>
          <t>Theme</t>
        </is>
      </c>
      <c r="B59" s="10" t="inlineStr">
        <is>
          <t>One and two star</t>
        </is>
      </c>
      <c r="C59" s="10" t="inlineStr">
        <is>
          <t>Three star</t>
        </is>
      </c>
      <c r="D59" s="10" t="inlineStr">
        <is>
          <t>Four and five star</t>
        </is>
      </c>
      <c r="E59" s="10" t="inlineStr">
        <is>
          <t>All retained</t>
        </is>
      </c>
      <c r="F59" s="10" t="inlineStr">
        <is>
          <t>Share of negatives, per cent</t>
        </is>
      </c>
      <c r="G59" s="10" t="inlineStr">
        <is>
          <t>Definition</t>
        </is>
      </c>
    </row>
    <row r="60">
      <c r="A60" s="15" t="inlineStr">
        <is>
          <t>onboarding</t>
        </is>
      </c>
      <c r="B60" s="21" t="n">
        <v>59</v>
      </c>
      <c r="C60" s="21" t="n">
        <v>4</v>
      </c>
      <c r="D60" s="21" t="n">
        <v>7</v>
      </c>
      <c r="E60" s="43">
        <f>B60+C60+D60</f>
        <v/>
      </c>
      <c r="F60" s="18">
        <f>B60/$B$71*100</f>
        <v/>
      </c>
      <c r="G60" s="19" t="inlineStr">
        <is>
          <t>Account opening, eKYC, OTP, NFC identity capture</t>
        </is>
      </c>
    </row>
    <row r="61">
      <c r="A61" s="11" t="inlineStr">
        <is>
          <t>stability</t>
        </is>
      </c>
      <c r="B61" s="24" t="n">
        <v>76</v>
      </c>
      <c r="C61" s="24" t="n">
        <v>5</v>
      </c>
      <c r="D61" s="24" t="n">
        <v>21</v>
      </c>
      <c r="E61" s="35">
        <f>B61+C61+D61</f>
        <v/>
      </c>
      <c r="F61" s="13">
        <f>B61/$B$71*100</f>
        <v/>
      </c>
      <c r="G61" s="14" t="inlineStr">
        <is>
          <t>App crashes, freezes, login failures, slow order routing</t>
        </is>
      </c>
    </row>
    <row r="62">
      <c r="A62" s="15" t="inlineStr">
        <is>
          <t>money</t>
        </is>
      </c>
      <c r="B62" s="21" t="n">
        <v>14</v>
      </c>
      <c r="C62" s="21" t="n">
        <v>2</v>
      </c>
      <c r="D62" s="21" t="n">
        <v>8</v>
      </c>
      <c r="E62" s="43">
        <f>B62+C62+D62</f>
        <v/>
      </c>
      <c r="F62" s="18">
        <f>B62/$B$71*100</f>
        <v/>
      </c>
      <c r="G62" s="19" t="inlineStr">
        <is>
          <t>Deposits not credited, withdrawal delays, T+ settlement</t>
        </is>
      </c>
    </row>
    <row r="63">
      <c r="A63" s="11" t="inlineStr">
        <is>
          <t>promo</t>
        </is>
      </c>
      <c r="B63" s="24" t="n">
        <v>24</v>
      </c>
      <c r="C63" s="24" t="n">
        <v>3</v>
      </c>
      <c r="D63" s="24" t="n">
        <v>7</v>
      </c>
      <c r="E63" s="35">
        <f>B63+C63+D63</f>
        <v/>
      </c>
      <c r="F63" s="13">
        <f>B63/$B$71*100</f>
        <v/>
      </c>
      <c r="G63" s="14" t="inlineStr">
        <is>
          <t>Sign-up bonus terms, advertised rewards not received</t>
        </is>
      </c>
    </row>
    <row r="64">
      <c r="A64" s="15" t="inlineStr">
        <is>
          <t>fees</t>
        </is>
      </c>
      <c r="B64" s="21" t="n">
        <v>3</v>
      </c>
      <c r="C64" s="21" t="n">
        <v>1</v>
      </c>
      <c r="D64" s="21" t="n">
        <v>4</v>
      </c>
      <c r="E64" s="43">
        <f>B64+C64+D64</f>
        <v/>
      </c>
      <c r="F64" s="18">
        <f>B64/$B$71*100</f>
        <v/>
      </c>
      <c r="G64" s="19" t="inlineStr">
        <is>
          <t>Commission and charges differing from the advertised rate</t>
        </is>
      </c>
    </row>
    <row r="65">
      <c r="A65" s="11" t="inlineStr">
        <is>
          <t>fraud</t>
        </is>
      </c>
      <c r="B65" s="24" t="n">
        <v>49</v>
      </c>
      <c r="C65" s="24" t="n">
        <v>2</v>
      </c>
      <c r="D65" s="24" t="n">
        <v>1</v>
      </c>
      <c r="E65" s="35">
        <f>B65+C65+D65</f>
        <v/>
      </c>
      <c r="F65" s="13">
        <f>B65/$B$71*100</f>
        <v/>
      </c>
      <c r="G65" s="14" t="inlineStr">
        <is>
          <t>Explicit accusation of deception or fake reviews</t>
        </is>
      </c>
    </row>
    <row r="66">
      <c r="A66" s="15" t="inlineStr">
        <is>
          <t>closure</t>
        </is>
      </c>
      <c r="B66" s="21" t="n">
        <v>10</v>
      </c>
      <c r="C66" s="21" t="n">
        <v>0</v>
      </c>
      <c r="D66" s="21" t="n">
        <v>1</v>
      </c>
      <c r="E66" s="43">
        <f>B66+C66+D66</f>
        <v/>
      </c>
      <c r="F66" s="18">
        <f>B66/$B$71*100</f>
        <v/>
      </c>
      <c r="G66" s="19" t="inlineStr">
        <is>
          <t>Cannot close the account, closure fee</t>
        </is>
      </c>
    </row>
    <row r="67">
      <c r="A67" s="11" t="inlineStr">
        <is>
          <t>yield</t>
        </is>
      </c>
      <c r="B67" s="24" t="n">
        <v>0</v>
      </c>
      <c r="C67" s="24" t="n">
        <v>0</v>
      </c>
      <c r="D67" s="24" t="n">
        <v>3</v>
      </c>
      <c r="E67" s="35">
        <f>B67+C67+D67</f>
        <v/>
      </c>
      <c r="F67" s="13">
        <f>B67/$B$71*100</f>
        <v/>
      </c>
      <c r="G67" s="14" t="inlineStr">
        <is>
          <t>Idle-cash auto-earning feature (tai khoan khong ngu)</t>
        </is>
      </c>
    </row>
    <row r="68">
      <c r="A68" s="15" t="inlineStr">
        <is>
          <t>influencer</t>
        </is>
      </c>
      <c r="B68" s="21" t="n">
        <v>5</v>
      </c>
      <c r="C68" s="21" t="n">
        <v>0</v>
      </c>
      <c r="D68" s="21" t="n">
        <v>10</v>
      </c>
      <c r="E68" s="43">
        <f>B68+C68+D68</f>
        <v/>
      </c>
      <c r="F68" s="18">
        <f>B68/$B$71*100</f>
        <v/>
      </c>
      <c r="G68" s="19" t="inlineStr">
        <is>
          <t>Reached the app through a YouTube or social referral</t>
        </is>
      </c>
    </row>
    <row r="69">
      <c r="A69" s="11" t="inlineStr">
        <is>
          <t>zalopay</t>
        </is>
      </c>
      <c r="B69" s="24" t="n">
        <v>2</v>
      </c>
      <c r="C69" s="24" t="n">
        <v>1</v>
      </c>
      <c r="D69" s="24" t="n">
        <v>2</v>
      </c>
      <c r="E69" s="35">
        <f>B69+C69+D69</f>
        <v/>
      </c>
      <c r="F69" s="13">
        <f>B69/$B$71*100</f>
        <v/>
      </c>
      <c r="G69" s="14" t="inlineStr">
        <is>
          <t>ZaloPay linkage and its transaction charge</t>
        </is>
      </c>
    </row>
    <row r="70">
      <c r="A70" s="15" t="inlineStr">
        <is>
          <t>ui</t>
        </is>
      </c>
      <c r="B70" s="21" t="n">
        <v>7</v>
      </c>
      <c r="C70" s="21" t="n">
        <v>5</v>
      </c>
      <c r="D70" s="21" t="n">
        <v>28</v>
      </c>
      <c r="E70" s="43">
        <f>B70+C70+D70</f>
        <v/>
      </c>
      <c r="F70" s="18">
        <f>B70/$B$71*100</f>
        <v/>
      </c>
      <c r="G70" s="19" t="inlineStr">
        <is>
          <t>Interface, charts, layout, usability</t>
        </is>
      </c>
    </row>
    <row r="71">
      <c r="A71" s="11" t="inlineStr">
        <is>
          <t>Reviews in each rating band</t>
        </is>
      </c>
      <c r="B71" s="24" t="n">
        <v>278</v>
      </c>
      <c r="C71" s="24" t="n">
        <v>30</v>
      </c>
      <c r="D71" s="24" t="n">
        <v>362</v>
      </c>
      <c r="E71" s="45">
        <f>B71+C71+D71</f>
        <v/>
      </c>
      <c r="F71" s="22" t="n"/>
      <c r="G71" s="14" t="inlineStr">
        <is>
          <t>Themes are not exclusive, so the theme rows above sum to more than the band totals</t>
        </is>
      </c>
    </row>
    <row r="73">
      <c r="A73" s="5" t="inlineStr">
        <is>
          <t>Three-application comparison</t>
        </is>
      </c>
    </row>
    <row r="74" ht="30" customHeight="1">
      <c r="A74" s="9" t="inlineStr">
        <is>
          <t>Application</t>
        </is>
      </c>
      <c r="B74" s="10" t="inlineStr">
        <is>
          <t>Retrieved</t>
        </is>
      </c>
      <c r="C74" s="10" t="inlineStr">
        <is>
          <t>Retained</t>
        </is>
      </c>
      <c r="D74" s="10" t="inlineStr">
        <is>
          <t>Mean, retained</t>
        </is>
      </c>
      <c r="E74" s="10" t="inlineStr">
        <is>
          <t>Mean 2025</t>
        </is>
      </c>
      <c r="F74" s="10" t="inlineStr">
        <is>
          <t>Mean 2026</t>
        </is>
      </c>
      <c r="G74" s="10" t="inlineStr">
        <is>
          <t>One star share, per cent</t>
        </is>
      </c>
    </row>
    <row r="75">
      <c r="A75" s="15" t="inlineStr">
        <is>
          <t>DNSE Entrade X</t>
        </is>
      </c>
      <c r="B75" s="21" t="n">
        <v>867</v>
      </c>
      <c r="C75" s="21" t="n">
        <v>670</v>
      </c>
      <c r="D75" s="44" t="n">
        <v>3.218</v>
      </c>
      <c r="E75" s="44" t="n">
        <v>2.646</v>
      </c>
      <c r="F75" s="44" t="n">
        <v>3.057</v>
      </c>
      <c r="G75" s="47" t="n">
        <v>38.7</v>
      </c>
    </row>
    <row r="76">
      <c r="A76" s="11" t="inlineStr">
        <is>
          <t>VPS SmartOne</t>
        </is>
      </c>
      <c r="B76" s="24" t="n">
        <v>1200</v>
      </c>
      <c r="C76" s="24" t="n">
        <v>1171</v>
      </c>
      <c r="D76" s="42" t="n">
        <v>2.582</v>
      </c>
      <c r="E76" s="42" t="n">
        <v>2.107</v>
      </c>
      <c r="F76" s="42" t="n">
        <v>2.071</v>
      </c>
      <c r="G76" s="48" t="n">
        <v>51.9</v>
      </c>
    </row>
    <row r="77">
      <c r="A77" s="15" t="inlineStr">
        <is>
          <t>FPTS EzTrade</t>
        </is>
      </c>
      <c r="B77" s="21" t="n">
        <v>177</v>
      </c>
      <c r="C77" s="21" t="n">
        <v>177</v>
      </c>
      <c r="D77" s="44" t="n">
        <v>2.181</v>
      </c>
      <c r="E77" s="44" t="n">
        <v>2</v>
      </c>
      <c r="F77" s="44" t="n">
        <v>3.333</v>
      </c>
      <c r="G77" s="47" t="n">
        <v>58.2</v>
      </c>
    </row>
    <row r="79">
      <c r="A79" s="5" t="inlineStr">
        <is>
          <t>App Store cross-check: cleaning log</t>
        </is>
      </c>
    </row>
    <row r="80" ht="30" customHeight="1">
      <c r="A80" s="9" t="inlineStr">
        <is>
          <t>Application</t>
        </is>
      </c>
      <c r="B80" s="10" t="inlineStr">
        <is>
          <t>Retrieved</t>
        </is>
      </c>
      <c r="C80" s="10" t="inlineStr">
        <is>
          <t>Referral removed</t>
        </is>
      </c>
      <c r="D80" s="10" t="inlineStr">
        <is>
          <t>Retained</t>
        </is>
      </c>
      <c r="E80" s="10" t="inlineStr">
        <is>
          <t>Mean, retained</t>
        </is>
      </c>
      <c r="F80" s="10" t="inlineStr">
        <is>
          <t>Store rating, all ratings</t>
        </is>
      </c>
      <c r="G80" s="10" t="inlineStr">
        <is>
          <t>Period and rating count</t>
        </is>
      </c>
    </row>
    <row r="81">
      <c r="A81" s="15" t="inlineStr">
        <is>
          <t>DNSE Entrade X</t>
        </is>
      </c>
      <c r="B81" s="21" t="n">
        <v>332</v>
      </c>
      <c r="C81" s="21" t="n">
        <v>73</v>
      </c>
      <c r="D81" s="21" t="n">
        <v>259</v>
      </c>
      <c r="E81" s="44" t="n">
        <v>2.938</v>
      </c>
      <c r="F81" s="49" t="n">
        <v>4.04</v>
      </c>
      <c r="G81" s="19" t="inlineStr">
        <is>
          <t>2020-11-02 to 2026-09-21; 1,490 star ratings, most without text</t>
        </is>
      </c>
    </row>
    <row r="82">
      <c r="A82" s="11" t="inlineStr">
        <is>
          <t>VPS SmartOne</t>
        </is>
      </c>
      <c r="B82" s="24" t="n">
        <v>518</v>
      </c>
      <c r="C82" s="24" t="n">
        <v>6</v>
      </c>
      <c r="D82" s="24" t="n">
        <v>512</v>
      </c>
      <c r="E82" s="42" t="n">
        <v>1.529</v>
      </c>
      <c r="F82" s="50" t="n">
        <v>3.03</v>
      </c>
      <c r="G82" s="14" t="inlineStr">
        <is>
          <t>2021-01-01 to 2026-09-13; 5,756 star ratings, most without text</t>
        </is>
      </c>
    </row>
    <row r="83">
      <c r="A83" s="15" t="inlineStr">
        <is>
          <t>FPTS EzTrade</t>
        </is>
      </c>
      <c r="B83" s="21" t="n">
        <v>205</v>
      </c>
      <c r="C83" s="21" t="n">
        <v>0</v>
      </c>
      <c r="D83" s="21" t="n">
        <v>205</v>
      </c>
      <c r="E83" s="44" t="n">
        <v>2.312</v>
      </c>
      <c r="F83" s="49" t="n">
        <v>2.82</v>
      </c>
      <c r="G83" s="19" t="inlineStr">
        <is>
          <t>2025-02-24 to 2026-09-08; Apple reports 76 ratings, fewer than the written reviews, so its count likely covers the current version only</t>
        </is>
      </c>
    </row>
    <row r="85">
      <c r="A85" s="5" t="inlineStr">
        <is>
          <t>Google Play against the App Store, 2025-01-01 to 2026-09-21</t>
        </is>
      </c>
    </row>
    <row r="86" ht="30" customHeight="1">
      <c r="A86" s="9" t="inlineStr">
        <is>
          <t>Application</t>
        </is>
      </c>
      <c r="B86" s="10" t="inlineStr">
        <is>
          <t>Google Play, n</t>
        </is>
      </c>
      <c r="C86" s="10" t="inlineStr">
        <is>
          <t>Google Play, mean</t>
        </is>
      </c>
      <c r="D86" s="10" t="inlineStr">
        <is>
          <t>Google Play, one star %</t>
        </is>
      </c>
      <c r="E86" s="10" t="inlineStr">
        <is>
          <t>App Store, n</t>
        </is>
      </c>
      <c r="F86" s="10" t="inlineStr">
        <is>
          <t>App Store, mean</t>
        </is>
      </c>
      <c r="G86" s="10" t="inlineStr">
        <is>
          <t>App Store, one star %</t>
        </is>
      </c>
    </row>
    <row r="87">
      <c r="A87" s="15" t="inlineStr">
        <is>
          <t>DNSE Entrade X</t>
        </is>
      </c>
      <c r="B87" s="21" t="n">
        <v>228</v>
      </c>
      <c r="C87" s="44" t="n">
        <v>2.772</v>
      </c>
      <c r="D87" s="47" t="n">
        <v>50</v>
      </c>
      <c r="E87" s="21" t="n">
        <v>83</v>
      </c>
      <c r="F87" s="44" t="n">
        <v>2.253</v>
      </c>
      <c r="G87" s="47" t="n">
        <v>59</v>
      </c>
    </row>
    <row r="88">
      <c r="A88" s="11" t="inlineStr">
        <is>
          <t>VPS SmartOne</t>
        </is>
      </c>
      <c r="B88" s="24" t="n">
        <v>366</v>
      </c>
      <c r="C88" s="42" t="n">
        <v>2.096</v>
      </c>
      <c r="D88" s="48" t="n">
        <v>63.4</v>
      </c>
      <c r="E88" s="24" t="n">
        <v>268</v>
      </c>
      <c r="F88" s="42" t="n">
        <v>1.474</v>
      </c>
      <c r="G88" s="48" t="n">
        <v>77.2</v>
      </c>
    </row>
    <row r="89">
      <c r="A89" s="15" t="inlineStr">
        <is>
          <t>FPTS EzTrade</t>
        </is>
      </c>
      <c r="B89" s="21" t="n">
        <v>177</v>
      </c>
      <c r="C89" s="44" t="n">
        <v>2.181</v>
      </c>
      <c r="D89" s="47" t="n">
        <v>58.2</v>
      </c>
      <c r="E89" s="21" t="n">
        <v>205</v>
      </c>
      <c r="F89" s="44" t="n">
        <v>2.312</v>
      </c>
      <c r="G89" s="47" t="n">
        <v>50.2</v>
      </c>
    </row>
    <row r="91">
      <c r="A91" s="5" t="inlineStr">
        <is>
          <t>DNSE one and two star reviews by theme and store, 2025-01-01 to 2026-09-21</t>
        </is>
      </c>
    </row>
    <row r="92" ht="30" customHeight="1">
      <c r="A92" s="9" t="inlineStr">
        <is>
          <t>Theme</t>
        </is>
      </c>
      <c r="B92" s="10" t="inlineStr">
        <is>
          <t>Google Play, n</t>
        </is>
      </c>
      <c r="C92" s="10" t="inlineStr">
        <is>
          <t>Google Play, % of negatives</t>
        </is>
      </c>
      <c r="D92" s="10" t="inlineStr">
        <is>
          <t>App Store, n</t>
        </is>
      </c>
      <c r="E92" s="10" t="inlineStr">
        <is>
          <t>App Store, % of negatives</t>
        </is>
      </c>
      <c r="F92" s="10" t="inlineStr">
        <is>
          <t>Both stores, n</t>
        </is>
      </c>
      <c r="G92" s="10" t="inlineStr">
        <is>
          <t>Definition</t>
        </is>
      </c>
    </row>
    <row r="93">
      <c r="A93" s="15" t="inlineStr">
        <is>
          <t>stability</t>
        </is>
      </c>
      <c r="B93" s="21" t="n">
        <v>32</v>
      </c>
      <c r="C93" s="18">
        <f>B93/$B$104*100</f>
        <v/>
      </c>
      <c r="D93" s="21" t="n">
        <v>20</v>
      </c>
      <c r="E93" s="18">
        <f>D93/$D$104*100</f>
        <v/>
      </c>
      <c r="F93" s="43">
        <f>B93+D93</f>
        <v/>
      </c>
      <c r="G93" s="19" t="inlineStr">
        <is>
          <t>App crashes, freezes, login failures, slow order routing</t>
        </is>
      </c>
    </row>
    <row r="94">
      <c r="A94" s="11" t="inlineStr">
        <is>
          <t>fraud</t>
        </is>
      </c>
      <c r="B94" s="24" t="n">
        <v>34</v>
      </c>
      <c r="C94" s="13">
        <f>B94/$B$104*100</f>
        <v/>
      </c>
      <c r="D94" s="24" t="n">
        <v>7</v>
      </c>
      <c r="E94" s="13">
        <f>D94/$D$104*100</f>
        <v/>
      </c>
      <c r="F94" s="35">
        <f>B94+D94</f>
        <v/>
      </c>
      <c r="G94" s="14" t="inlineStr">
        <is>
          <t>Explicit accusation of deception or fake reviews</t>
        </is>
      </c>
    </row>
    <row r="95">
      <c r="A95" s="15" t="inlineStr">
        <is>
          <t>onboarding</t>
        </is>
      </c>
      <c r="B95" s="21" t="n">
        <v>21</v>
      </c>
      <c r="C95" s="18">
        <f>B95/$B$104*100</f>
        <v/>
      </c>
      <c r="D95" s="21" t="n">
        <v>11</v>
      </c>
      <c r="E95" s="18">
        <f>D95/$D$104*100</f>
        <v/>
      </c>
      <c r="F95" s="43">
        <f>B95+D95</f>
        <v/>
      </c>
      <c r="G95" s="19" t="inlineStr">
        <is>
          <t>Account opening, eKYC, OTP, NFC identity capture</t>
        </is>
      </c>
    </row>
    <row r="96">
      <c r="A96" s="11" t="inlineStr">
        <is>
          <t>promo</t>
        </is>
      </c>
      <c r="B96" s="24" t="n">
        <v>18</v>
      </c>
      <c r="C96" s="13">
        <f>B96/$B$104*100</f>
        <v/>
      </c>
      <c r="D96" s="24" t="n">
        <v>3</v>
      </c>
      <c r="E96" s="13">
        <f>D96/$D$104*100</f>
        <v/>
      </c>
      <c r="F96" s="35">
        <f>B96+D96</f>
        <v/>
      </c>
      <c r="G96" s="14" t="inlineStr">
        <is>
          <t>Sign-up bonus terms, advertised rewards not received</t>
        </is>
      </c>
    </row>
    <row r="97">
      <c r="A97" s="15" t="inlineStr">
        <is>
          <t>money</t>
        </is>
      </c>
      <c r="B97" s="21" t="n">
        <v>9</v>
      </c>
      <c r="C97" s="18">
        <f>B97/$B$104*100</f>
        <v/>
      </c>
      <c r="D97" s="21" t="n">
        <v>5</v>
      </c>
      <c r="E97" s="18">
        <f>D97/$D$104*100</f>
        <v/>
      </c>
      <c r="F97" s="43">
        <f>B97+D97</f>
        <v/>
      </c>
      <c r="G97" s="19" t="inlineStr">
        <is>
          <t>Deposits not credited, withdrawal delays, T+ settlement</t>
        </is>
      </c>
    </row>
    <row r="98">
      <c r="A98" s="11" t="inlineStr">
        <is>
          <t>closure</t>
        </is>
      </c>
      <c r="B98" s="24" t="n">
        <v>7</v>
      </c>
      <c r="C98" s="13">
        <f>B98/$B$104*100</f>
        <v/>
      </c>
      <c r="D98" s="24" t="n">
        <v>1</v>
      </c>
      <c r="E98" s="13">
        <f>D98/$D$104*100</f>
        <v/>
      </c>
      <c r="F98" s="35">
        <f>B98+D98</f>
        <v/>
      </c>
      <c r="G98" s="14" t="inlineStr">
        <is>
          <t>Cannot close the account, closure fee</t>
        </is>
      </c>
    </row>
    <row r="99">
      <c r="A99" s="15" t="inlineStr">
        <is>
          <t>influencer</t>
        </is>
      </c>
      <c r="B99" s="21" t="n">
        <v>3</v>
      </c>
      <c r="C99" s="18">
        <f>B99/$B$104*100</f>
        <v/>
      </c>
      <c r="D99" s="21" t="n">
        <v>1</v>
      </c>
      <c r="E99" s="18">
        <f>D99/$D$104*100</f>
        <v/>
      </c>
      <c r="F99" s="43">
        <f>B99+D99</f>
        <v/>
      </c>
      <c r="G99" s="19" t="inlineStr">
        <is>
          <t>Reached the app through a YouTube or social referral</t>
        </is>
      </c>
    </row>
    <row r="100">
      <c r="A100" s="11" t="inlineStr">
        <is>
          <t>ui</t>
        </is>
      </c>
      <c r="B100" s="24" t="n">
        <v>2</v>
      </c>
      <c r="C100" s="13">
        <f>B100/$B$104*100</f>
        <v/>
      </c>
      <c r="D100" s="24" t="n">
        <v>2</v>
      </c>
      <c r="E100" s="13">
        <f>D100/$D$104*100</f>
        <v/>
      </c>
      <c r="F100" s="35">
        <f>B100+D100</f>
        <v/>
      </c>
      <c r="G100" s="14" t="inlineStr">
        <is>
          <t>Interface, charts, layout, usability</t>
        </is>
      </c>
    </row>
    <row r="101">
      <c r="A101" s="15" t="inlineStr">
        <is>
          <t>fees</t>
        </is>
      </c>
      <c r="B101" s="21" t="n">
        <v>3</v>
      </c>
      <c r="C101" s="18">
        <f>B101/$B$104*100</f>
        <v/>
      </c>
      <c r="D101" s="21" t="n">
        <v>0</v>
      </c>
      <c r="E101" s="18">
        <f>D101/$D$104*100</f>
        <v/>
      </c>
      <c r="F101" s="43">
        <f>B101+D101</f>
        <v/>
      </c>
      <c r="G101" s="19" t="inlineStr">
        <is>
          <t>Commission and charges differing from the advertised rate</t>
        </is>
      </c>
    </row>
    <row r="102">
      <c r="A102" s="11" t="inlineStr">
        <is>
          <t>zalopay</t>
        </is>
      </c>
      <c r="B102" s="24" t="n">
        <v>2</v>
      </c>
      <c r="C102" s="13">
        <f>B102/$B$104*100</f>
        <v/>
      </c>
      <c r="D102" s="24" t="n">
        <v>0</v>
      </c>
      <c r="E102" s="13">
        <f>D102/$D$104*100</f>
        <v/>
      </c>
      <c r="F102" s="35">
        <f>B102+D102</f>
        <v/>
      </c>
      <c r="G102" s="14" t="inlineStr">
        <is>
          <t>ZaloPay linkage and its transaction charge</t>
        </is>
      </c>
    </row>
    <row r="103">
      <c r="A103" s="15" t="inlineStr">
        <is>
          <t>yield</t>
        </is>
      </c>
      <c r="B103" s="21" t="n">
        <v>0</v>
      </c>
      <c r="C103" s="18">
        <f>B103/$B$104*100</f>
        <v/>
      </c>
      <c r="D103" s="21" t="n">
        <v>0</v>
      </c>
      <c r="E103" s="18">
        <f>D103/$D$104*100</f>
        <v/>
      </c>
      <c r="F103" s="43">
        <f>B103+D103</f>
        <v/>
      </c>
      <c r="G103" s="19" t="inlineStr">
        <is>
          <t>Idle-cash auto-earning feature (tai khoan khong ngu)</t>
        </is>
      </c>
    </row>
    <row r="104">
      <c r="A104" s="11" t="inlineStr">
        <is>
          <t>One and two star reviews</t>
        </is>
      </c>
      <c r="B104" s="24" t="n">
        <v>125</v>
      </c>
      <c r="D104" s="24" t="n">
        <v>53</v>
      </c>
      <c r="F104" s="45">
        <f>B104+D104</f>
        <v/>
      </c>
      <c r="G104" s="34" t="inlineStr">
        <is>
          <t>Themes are not exclusive</t>
        </is>
      </c>
    </row>
    <row r="105">
      <c r="A105" s="22" t="inlineStr">
        <is>
          <t>Any of: stability, onboarding</t>
        </is>
      </c>
      <c r="B105" s="24" t="n">
        <v>47</v>
      </c>
      <c r="C105" s="13">
        <f>B105/$B$104*100</f>
        <v/>
      </c>
      <c r="D105" s="24" t="n">
        <v>27</v>
      </c>
      <c r="E105" s="13">
        <f>D105/$D$104*100</f>
        <v/>
      </c>
      <c r="G105" s="14" t="inlineStr">
        <is>
          <t>Each review counted once even if it carries both themes</t>
        </is>
      </c>
    </row>
    <row r="106">
      <c r="A106" s="22" t="inlineStr">
        <is>
          <t>Any of: fraud, promo</t>
        </is>
      </c>
      <c r="B106" s="24" t="n">
        <v>43</v>
      </c>
      <c r="C106" s="13">
        <f>B106/$B$104*100</f>
        <v/>
      </c>
      <c r="D106" s="24" t="n">
        <v>8</v>
      </c>
      <c r="E106" s="13">
        <f>D106/$D$104*100</f>
        <v/>
      </c>
      <c r="G106" s="14" t="inlineStr">
        <is>
          <t>Each review counted once even if it carries both themes</t>
        </is>
      </c>
    </row>
    <row r="108">
      <c r="A108" s="5" t="inlineStr">
        <is>
          <t>DNSE on the App Store by year</t>
        </is>
      </c>
    </row>
    <row r="109" ht="30" customHeight="1">
      <c r="A109" s="9" t="inlineStr">
        <is>
          <t>Year</t>
        </is>
      </c>
      <c r="B109" s="10" t="inlineStr">
        <is>
          <t>Retrieved</t>
        </is>
      </c>
      <c r="C109" s="10" t="inlineStr">
        <is>
          <t>Retained</t>
        </is>
      </c>
      <c r="D109" s="10" t="inlineStr">
        <is>
          <t>Mean, retained</t>
        </is>
      </c>
      <c r="E109" s="10" t="inlineStr"/>
      <c r="F109" s="10" t="inlineStr"/>
      <c r="G109" s="10" t="inlineStr">
        <is>
          <t>Reading</t>
        </is>
      </c>
    </row>
    <row r="110">
      <c r="A110" s="11" t="inlineStr">
        <is>
          <t>2020</t>
        </is>
      </c>
      <c r="B110" s="24" t="n">
        <v>2</v>
      </c>
      <c r="C110" s="24" t="n">
        <v>2</v>
      </c>
      <c r="D110" s="42" t="n">
        <v>5</v>
      </c>
      <c r="G110" s="34" t="inlineStr">
        <is>
          <t>Feed coverage is partial before 2025</t>
        </is>
      </c>
    </row>
    <row r="111">
      <c r="A111" s="11" t="inlineStr">
        <is>
          <t>2021</t>
        </is>
      </c>
      <c r="B111" s="24" t="n">
        <v>30</v>
      </c>
      <c r="C111" s="24" t="n">
        <v>26</v>
      </c>
      <c r="D111" s="42" t="n">
        <v>2.769</v>
      </c>
      <c r="G111" s="34" t="inlineStr">
        <is>
          <t>Feed coverage is partial before 2025</t>
        </is>
      </c>
    </row>
    <row r="112">
      <c r="A112" s="11" t="inlineStr">
        <is>
          <t>2022</t>
        </is>
      </c>
      <c r="B112" s="24" t="n">
        <v>68</v>
      </c>
      <c r="C112" s="24" t="n">
        <v>30</v>
      </c>
      <c r="D112" s="42" t="n">
        <v>2.4</v>
      </c>
      <c r="G112" s="34" t="inlineStr">
        <is>
          <t>Feed coverage is partial before 2025</t>
        </is>
      </c>
    </row>
    <row r="113">
      <c r="A113" s="11" t="inlineStr">
        <is>
          <t>2023</t>
        </is>
      </c>
      <c r="B113" s="24" t="n">
        <v>100</v>
      </c>
      <c r="C113" s="24" t="n">
        <v>90</v>
      </c>
      <c r="D113" s="42" t="n">
        <v>3.922</v>
      </c>
      <c r="G113" s="34" t="inlineStr">
        <is>
          <t>Feed coverage is partial before 2025</t>
        </is>
      </c>
    </row>
    <row r="114">
      <c r="A114" s="11" t="inlineStr">
        <is>
          <t>2024</t>
        </is>
      </c>
      <c r="B114" s="24" t="n">
        <v>29</v>
      </c>
      <c r="C114" s="24" t="n">
        <v>28</v>
      </c>
      <c r="D114" s="42" t="n">
        <v>2.393</v>
      </c>
      <c r="G114" s="34" t="inlineStr">
        <is>
          <t>Feed coverage is partial before 2025</t>
        </is>
      </c>
    </row>
    <row r="115">
      <c r="A115" s="11" t="inlineStr">
        <is>
          <t>2025</t>
        </is>
      </c>
      <c r="B115" s="24" t="n">
        <v>65</v>
      </c>
      <c r="C115" s="24" t="n">
        <v>48</v>
      </c>
      <c r="D115" s="42" t="n">
        <v>2.438</v>
      </c>
      <c r="G115" s="34" t="inlineStr"/>
    </row>
    <row r="116">
      <c r="A116" s="11" t="inlineStr">
        <is>
          <t>2026</t>
        </is>
      </c>
      <c r="B116" s="24" t="n">
        <v>38</v>
      </c>
      <c r="C116" s="24" t="n">
        <v>35</v>
      </c>
      <c r="D116" s="42" t="n">
        <v>2</v>
      </c>
      <c r="G116" s="34" t="inlineStr"/>
    </row>
  </sheetData>
  <mergeCells count="9">
    <mergeCell ref="B10:G10"/>
    <mergeCell ref="B5:G5"/>
    <mergeCell ref="B9:G9"/>
    <mergeCell ref="B8:G8"/>
    <mergeCell ref="B12:G12"/>
    <mergeCell ref="B13:G13"/>
    <mergeCell ref="B7:G7"/>
    <mergeCell ref="B11:G11"/>
    <mergeCell ref="B6:G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4"/>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13" customWidth="1" min="3" max="3"/>
    <col width="11" customWidth="1" min="4" max="4"/>
    <col width="26" customWidth="1" min="5" max="5"/>
    <col width="96" customWidth="1" min="6" max="6"/>
  </cols>
  <sheetData>
    <row r="1">
      <c r="A1" s="1" t="inlineStr">
        <is>
          <t>Selected DNSE reviews</t>
        </is>
      </c>
    </row>
    <row r="2">
      <c r="A2" s="8" t="inlineStr">
        <is>
          <t>Fifty reviews chosen as the most upvoted within each complaint theme, plus the most upvoted substantive positive reviews. Text is Vietnamese as written, truncated to 150 characters.</t>
        </is>
      </c>
    </row>
    <row r="4" ht="30" customHeight="1">
      <c r="A4" s="9" t="inlineStr">
        <is>
          <t>Review id</t>
        </is>
      </c>
      <c r="B4" s="10" t="inlineStr">
        <is>
          <t>Stars</t>
        </is>
      </c>
      <c r="C4" s="10" t="inlineStr">
        <is>
          <t>Date</t>
        </is>
      </c>
      <c r="D4" s="10" t="inlineStr">
        <is>
          <t>Helpful votes</t>
        </is>
      </c>
      <c r="E4" s="10" t="inlineStr">
        <is>
          <t>Themes</t>
        </is>
      </c>
      <c r="F4" s="10" t="inlineStr">
        <is>
          <t>Text</t>
        </is>
      </c>
    </row>
    <row r="5">
      <c r="A5" s="22" t="inlineStr">
        <is>
          <t>cf18775a</t>
        </is>
      </c>
      <c r="B5" s="51" t="n">
        <v>1</v>
      </c>
      <c r="C5" s="22" t="inlineStr">
        <is>
          <t>2025-05-24</t>
        </is>
      </c>
      <c r="D5" s="35" t="n">
        <v>54</v>
      </c>
      <c r="E5" s="52" t="inlineStr">
        <is>
          <t>onboarding|closure</t>
        </is>
      </c>
      <c r="F5" s="52" t="inlineStr">
        <is>
          <t>Bị gài rồi, bạn nào muốn đăng kí thì phải biết 1 điều là k thể hủy đăng ký kể cả khi tài khoản chưa được duyệt cũng không hủy được, và cái đoạn chụp h</t>
        </is>
      </c>
    </row>
    <row r="6">
      <c r="A6" s="23" t="inlineStr">
        <is>
          <t>e8fe4927</t>
        </is>
      </c>
      <c r="B6" s="53" t="n">
        <v>1</v>
      </c>
      <c r="C6" s="23" t="inlineStr">
        <is>
          <t>2021-09-23</t>
        </is>
      </c>
      <c r="D6" s="43" t="n">
        <v>28</v>
      </c>
      <c r="E6" s="54" t="inlineStr">
        <is>
          <t>onboarding</t>
        </is>
      </c>
      <c r="F6" s="54" t="inlineStr">
        <is>
          <t>23.09.2021 đk lúc 10h sáng chờ tới gần 13h chưa vào đc mà cứ thông báo phải đợi 1h xác thực. app này có vấn đề chắc lun, đụng tới tiền bạc mà cứ lề mề</t>
        </is>
      </c>
    </row>
    <row r="7">
      <c r="A7" s="22" t="inlineStr">
        <is>
          <t>5efad1d8</t>
        </is>
      </c>
      <c r="B7" s="51" t="n">
        <v>1</v>
      </c>
      <c r="C7" s="22" t="inlineStr">
        <is>
          <t>2025-07-12</t>
        </is>
      </c>
      <c r="D7" s="35" t="n">
        <v>25</v>
      </c>
      <c r="E7" s="52" t="inlineStr">
        <is>
          <t>onboarding</t>
        </is>
      </c>
      <c r="F7" s="52" t="inlineStr">
        <is>
          <t>không quét dc nfc là sao. đăng kí mà khó thế.😅</t>
        </is>
      </c>
    </row>
    <row r="8">
      <c r="A8" s="23" t="inlineStr">
        <is>
          <t>e752ae28</t>
        </is>
      </c>
      <c r="B8" s="53" t="n">
        <v>1</v>
      </c>
      <c r="C8" s="23" t="inlineStr">
        <is>
          <t>2025-05-31</t>
        </is>
      </c>
      <c r="D8" s="43" t="n">
        <v>22</v>
      </c>
      <c r="E8" s="54" t="inlineStr">
        <is>
          <t>onboarding</t>
        </is>
      </c>
      <c r="F8" s="54" t="inlineStr">
        <is>
          <t>có cái mã otp mà mãi dell gửi dc</t>
        </is>
      </c>
    </row>
    <row r="9">
      <c r="A9" s="22" t="inlineStr">
        <is>
          <t>ec7cd283</t>
        </is>
      </c>
      <c r="B9" s="51" t="n">
        <v>1</v>
      </c>
      <c r="C9" s="22" t="inlineStr">
        <is>
          <t>2025-04-17</t>
        </is>
      </c>
      <c r="D9" s="35" t="n">
        <v>20</v>
      </c>
      <c r="E9" s="52" t="inlineStr">
        <is>
          <t>onboarding</t>
        </is>
      </c>
      <c r="F9" s="52" t="inlineStr">
        <is>
          <t>đăng ký xác thực 5 lần ko đc cứ bảo vì hình chụp bị mờ</t>
        </is>
      </c>
    </row>
    <row r="10">
      <c r="A10" s="23" t="inlineStr">
        <is>
          <t>91029c97</t>
        </is>
      </c>
      <c r="B10" s="53" t="n">
        <v>2</v>
      </c>
      <c r="C10" s="23" t="inlineStr">
        <is>
          <t>2025-06-02</t>
        </is>
      </c>
      <c r="D10" s="43" t="n">
        <v>18</v>
      </c>
      <c r="E10" s="54" t="inlineStr">
        <is>
          <t>stability|money</t>
        </is>
      </c>
      <c r="F10" s="54" t="inlineStr">
        <is>
          <t>Khi nạp tiền không vào giờ giao dịch, dù tiền đã trừ ở tài khoản ngân hàng, nhưng tài khoản chứng khoán không nhận được. Liên hệ cả bộ phận CSKH thì p</t>
        </is>
      </c>
    </row>
    <row r="11">
      <c r="A11" s="22" t="inlineStr">
        <is>
          <t>f95e155b</t>
        </is>
      </c>
      <c r="B11" s="51" t="n">
        <v>1</v>
      </c>
      <c r="C11" s="22" t="inlineStr">
        <is>
          <t>2024-08-07</t>
        </is>
      </c>
      <c r="D11" s="35" t="n">
        <v>18</v>
      </c>
      <c r="E11" s="52" t="inlineStr">
        <is>
          <t>stability|ui</t>
        </is>
      </c>
      <c r="F11" s="52" t="inlineStr">
        <is>
          <t>Từ ngày 6 đến nay chart, thông tin ....đều bị đơ mà không có bất kỳ thông nào. Cái duy nhất còn hiển thị là phần tin tức. Liên quan đến tiền mà Ad chơ</t>
        </is>
      </c>
    </row>
    <row r="12">
      <c r="A12" s="23" t="inlineStr">
        <is>
          <t>d7b0e147</t>
        </is>
      </c>
      <c r="B12" s="53" t="n">
        <v>1</v>
      </c>
      <c r="C12" s="23" t="inlineStr">
        <is>
          <t>2025-04-08</t>
        </is>
      </c>
      <c r="D12" s="43" t="n">
        <v>17</v>
      </c>
      <c r="E12" s="54" t="inlineStr">
        <is>
          <t>onboarding|stability</t>
        </is>
      </c>
      <c r="F12" s="54" t="inlineStr">
        <is>
          <t>mã otp bị lỗi</t>
        </is>
      </c>
    </row>
    <row r="13">
      <c r="A13" s="22" t="inlineStr">
        <is>
          <t>4b62d195</t>
        </is>
      </c>
      <c r="B13" s="51" t="n">
        <v>1</v>
      </c>
      <c r="C13" s="22" t="inlineStr">
        <is>
          <t>2021-08-22</t>
        </is>
      </c>
      <c r="D13" s="35" t="n">
        <v>16</v>
      </c>
      <c r="E13" s="52" t="inlineStr">
        <is>
          <t>onboarding|stability</t>
        </is>
      </c>
      <c r="F13" s="52" t="inlineStr">
        <is>
          <t>Điện thoại CMT nét như gì cứ bảo chùi camera, ko xác thực nổi đã thế còn lỗi liên tục, ko nên tải app này</t>
        </is>
      </c>
    </row>
    <row r="14">
      <c r="A14" s="23" t="inlineStr">
        <is>
          <t>975c8060</t>
        </is>
      </c>
      <c r="B14" s="53" t="n">
        <v>1</v>
      </c>
      <c r="C14" s="23" t="inlineStr">
        <is>
          <t>2025-07-25</t>
        </is>
      </c>
      <c r="D14" s="43" t="n">
        <v>15</v>
      </c>
      <c r="E14" s="54" t="inlineStr">
        <is>
          <t>stability</t>
        </is>
      </c>
      <c r="F14" s="54" t="inlineStr">
        <is>
          <t>lỗi đăng nhập ko vào được thì mất tiền 100%</t>
        </is>
      </c>
    </row>
    <row r="15">
      <c r="A15" s="22" t="inlineStr">
        <is>
          <t>564355fd</t>
        </is>
      </c>
      <c r="B15" s="51" t="n">
        <v>1</v>
      </c>
      <c r="C15" s="22" t="inlineStr">
        <is>
          <t>2025-06-28</t>
        </is>
      </c>
      <c r="D15" s="35" t="n">
        <v>50</v>
      </c>
      <c r="E15" s="52" t="inlineStr">
        <is>
          <t>money|promo|fraud</t>
        </is>
      </c>
      <c r="F15" s="52" t="inlineStr">
        <is>
          <t>lừa đảo thông tin sai sự thật không có vụ được 100k liền đâu phải nạp tiền vào tối thiểu 2tr mới được</t>
        </is>
      </c>
    </row>
    <row r="16">
      <c r="A16" s="23" t="inlineStr">
        <is>
          <t>940c13ed</t>
        </is>
      </c>
      <c r="B16" s="53" t="n">
        <v>1</v>
      </c>
      <c r="C16" s="23" t="inlineStr">
        <is>
          <t>2025-01-27</t>
        </is>
      </c>
      <c r="D16" s="43" t="n">
        <v>20</v>
      </c>
      <c r="E16" s="54" t="inlineStr">
        <is>
          <t>money</t>
        </is>
      </c>
      <c r="F16" s="54" t="inlineStr">
        <is>
          <t>Giam tiền nạp thì lẹ bán cổ phiếu ra tiền thì k cho rút muốn rút phải ứng tiền phí cực chát.</t>
        </is>
      </c>
    </row>
    <row r="17">
      <c r="A17" s="22" t="inlineStr">
        <is>
          <t>0a2388c6</t>
        </is>
      </c>
      <c r="B17" s="51" t="n">
        <v>1</v>
      </c>
      <c r="C17" s="22" t="inlineStr">
        <is>
          <t>2025-08-20</t>
        </is>
      </c>
      <c r="D17" s="35" t="n">
        <v>9</v>
      </c>
      <c r="E17" s="52" t="inlineStr">
        <is>
          <t>stability|money</t>
        </is>
      </c>
      <c r="F17" s="52" t="inlineStr">
        <is>
          <t xml:space="preserve">cty khá ok chỉ có điều làm lâu lâu chuyển khoản vào mà hệ thống ngân hàng bị lỗi ( chờ xử lý) khi ngân hàng xử lý xong tiền thì đã chuyển nhưng xử lý </t>
        </is>
      </c>
    </row>
    <row r="18">
      <c r="A18" s="23" t="inlineStr">
        <is>
          <t>e74d3efa</t>
        </is>
      </c>
      <c r="B18" s="53" t="n">
        <v>1</v>
      </c>
      <c r="C18" s="23" t="inlineStr">
        <is>
          <t>2024-08-25</t>
        </is>
      </c>
      <c r="D18" s="43" t="n">
        <v>7</v>
      </c>
      <c r="E18" s="54" t="inlineStr">
        <is>
          <t>stability|money</t>
        </is>
      </c>
      <c r="F18" s="54" t="inlineStr">
        <is>
          <t>Chán thật đi uống nước muốn rút tiền mà cứ lỗi</t>
        </is>
      </c>
    </row>
    <row r="19">
      <c r="A19" s="22" t="inlineStr">
        <is>
          <t>811c5661</t>
        </is>
      </c>
      <c r="B19" s="51" t="n">
        <v>1</v>
      </c>
      <c r="C19" s="22" t="inlineStr">
        <is>
          <t>2025-06-09</t>
        </is>
      </c>
      <c r="D19" s="35" t="n">
        <v>58</v>
      </c>
      <c r="E19" s="52" t="inlineStr">
        <is>
          <t>promo|fraud|closure</t>
        </is>
      </c>
      <c r="F19" s="52" t="inlineStr">
        <is>
          <t>MN CHÚ Ý SCAM NHA KHÔNG NHẬN ĐƯỢC 100K MUỐN XOÁ TK PHẢI TRẢ NÓ 100K ĐỂ XOÁ NÓ LẤY CẮP THÔNG TIN AE CHÚ Ý</t>
        </is>
      </c>
    </row>
    <row r="20">
      <c r="A20" s="23" t="inlineStr">
        <is>
          <t>0db61d25</t>
        </is>
      </c>
      <c r="B20" s="53" t="n">
        <v>1</v>
      </c>
      <c r="C20" s="23" t="inlineStr">
        <is>
          <t>2025-06-07</t>
        </is>
      </c>
      <c r="D20" s="43" t="n">
        <v>43</v>
      </c>
      <c r="E20" s="54" t="inlineStr">
        <is>
          <t>promo</t>
        </is>
      </c>
      <c r="F20" s="54" t="inlineStr">
        <is>
          <t>mọi người đừng để bị dụ nhận 100k nha, kh dc đâu</t>
        </is>
      </c>
    </row>
    <row r="21">
      <c r="A21" s="22" t="inlineStr">
        <is>
          <t>0318e923</t>
        </is>
      </c>
      <c r="B21" s="51" t="n">
        <v>1</v>
      </c>
      <c r="C21" s="22" t="inlineStr">
        <is>
          <t>2025-08-06</t>
        </is>
      </c>
      <c r="D21" s="35" t="n">
        <v>32</v>
      </c>
      <c r="E21" s="52" t="inlineStr">
        <is>
          <t>promo</t>
        </is>
      </c>
      <c r="F21" s="52" t="inlineStr">
        <is>
          <t>quảng cáo sai sự thật . phải nạp vào trong app 2 triệu mới được 100k . không như quảng cáo là tải app được nhận 100k . 😡😳🤬</t>
        </is>
      </c>
    </row>
    <row r="22">
      <c r="A22" s="23" t="inlineStr">
        <is>
          <t>276fb209</t>
        </is>
      </c>
      <c r="B22" s="53" t="n">
        <v>1</v>
      </c>
      <c r="C22" s="23" t="inlineStr">
        <is>
          <t>2025-06-08</t>
        </is>
      </c>
      <c r="D22" s="43" t="n">
        <v>26</v>
      </c>
      <c r="E22" s="54" t="inlineStr">
        <is>
          <t>promo|fraud</t>
        </is>
      </c>
      <c r="F22" s="54" t="inlineStr">
        <is>
          <t>scam không như quảng cáo</t>
        </is>
      </c>
    </row>
    <row r="23">
      <c r="A23" s="22" t="inlineStr">
        <is>
          <t>f07f6887</t>
        </is>
      </c>
      <c r="B23" s="51" t="n">
        <v>1</v>
      </c>
      <c r="C23" s="22" t="inlineStr">
        <is>
          <t>2025-06-24</t>
        </is>
      </c>
      <c r="D23" s="35" t="n">
        <v>24</v>
      </c>
      <c r="E23" s="52" t="inlineStr">
        <is>
          <t>promo|fees</t>
        </is>
      </c>
      <c r="F23" s="52" t="inlineStr">
        <is>
          <t>Phí giao dịch cao, không như quảng cáo. Đánh giá 1* vì sự mập mờ này</t>
        </is>
      </c>
    </row>
    <row r="24">
      <c r="A24" s="23" t="inlineStr">
        <is>
          <t>e6b00c91</t>
        </is>
      </c>
      <c r="B24" s="53" t="n">
        <v>2</v>
      </c>
      <c r="C24" s="23" t="inlineStr">
        <is>
          <t>2025-05-19</t>
        </is>
      </c>
      <c r="D24" s="43" t="n">
        <v>22</v>
      </c>
      <c r="E24" s="54" t="inlineStr">
        <is>
          <t>fees</t>
        </is>
      </c>
      <c r="F24" s="54" t="inlineStr">
        <is>
          <t>Thấy bảo miễn phí giao dịch .. mà vẫn mất phí đều đều hây.!!</t>
        </is>
      </c>
    </row>
    <row r="25">
      <c r="A25" s="22" t="inlineStr">
        <is>
          <t>92b7466a</t>
        </is>
      </c>
      <c r="B25" s="51" t="n">
        <v>1</v>
      </c>
      <c r="C25" s="22" t="inlineStr">
        <is>
          <t>2022-09-05</t>
        </is>
      </c>
      <c r="D25" s="35" t="n">
        <v>1</v>
      </c>
      <c r="E25" s="52" t="inlineStr">
        <is>
          <t>stability</t>
        </is>
      </c>
      <c r="F25" s="52" t="inlineStr">
        <is>
          <t>phí rẻ nhưng hay lỗi hệ thống cần nâng cấp lên cho bằng các cty khác.</t>
        </is>
      </c>
    </row>
    <row r="26">
      <c r="A26" s="23" t="inlineStr">
        <is>
          <t>ee1f33ca</t>
        </is>
      </c>
      <c r="B26" s="53" t="n">
        <v>1</v>
      </c>
      <c r="C26" s="23" t="inlineStr">
        <is>
          <t>2025-03-24</t>
        </is>
      </c>
      <c r="D26" s="43" t="n">
        <v>0</v>
      </c>
      <c r="E26" s="54" t="inlineStr">
        <is>
          <t>fraud</t>
        </is>
      </c>
      <c r="F26" s="54" t="inlineStr">
        <is>
          <t>Công ty lừa đảo. Ghi phí 0.045%, nhưng nó tính 0.5%</t>
        </is>
      </c>
    </row>
    <row r="27">
      <c r="A27" s="22" t="inlineStr">
        <is>
          <t>d63fde57</t>
        </is>
      </c>
      <c r="B27" s="51" t="n">
        <v>1</v>
      </c>
      <c r="C27" s="22" t="inlineStr">
        <is>
          <t>2025-04-18</t>
        </is>
      </c>
      <c r="D27" s="35" t="n">
        <v>50</v>
      </c>
      <c r="E27" s="52" t="inlineStr">
        <is>
          <t>fraud</t>
        </is>
      </c>
      <c r="F27" s="52" t="inlineStr">
        <is>
          <t>như lừa đảo z</t>
        </is>
      </c>
    </row>
    <row r="28">
      <c r="A28" s="23" t="inlineStr">
        <is>
          <t>023d90b3</t>
        </is>
      </c>
      <c r="B28" s="53" t="n">
        <v>1</v>
      </c>
      <c r="C28" s="23" t="inlineStr">
        <is>
          <t>2025-06-08</t>
        </is>
      </c>
      <c r="D28" s="43" t="n">
        <v>46</v>
      </c>
      <c r="E28" s="54" t="inlineStr">
        <is>
          <t>stability|fraud</t>
        </is>
      </c>
      <c r="F28" s="54" t="inlineStr">
        <is>
          <t>app này MN nên cẩn thận nó lừa đó vì chọn đăng nhập thì kh thể hủy đc với lại lượt đánh giá toàn là đánh giá ảo nên đừng tin</t>
        </is>
      </c>
    </row>
    <row r="29">
      <c r="A29" s="22" t="inlineStr">
        <is>
          <t>ba551fd3</t>
        </is>
      </c>
      <c r="B29" s="51" t="n">
        <v>1</v>
      </c>
      <c r="C29" s="22" t="inlineStr">
        <is>
          <t>2025-06-25</t>
        </is>
      </c>
      <c r="D29" s="35" t="n">
        <v>42</v>
      </c>
      <c r="E29" s="52" t="inlineStr">
        <is>
          <t>fraud</t>
        </is>
      </c>
      <c r="F29" s="52" t="inlineStr">
        <is>
          <t>!!!! Lưu ý nha anh em LỪA ĐẢO ĂN THÔNG TIN KHÁCH HÀNG !!! ĐÁNH GIÁ 5 ☆ ĐỀU LÀ GIẢ !!!</t>
        </is>
      </c>
    </row>
    <row r="30">
      <c r="A30" s="23" t="inlineStr">
        <is>
          <t>9d0f25ad</t>
        </is>
      </c>
      <c r="B30" s="53" t="n">
        <v>1</v>
      </c>
      <c r="C30" s="23" t="inlineStr">
        <is>
          <t>2024-04-28</t>
        </is>
      </c>
      <c r="D30" s="43" t="n">
        <v>46</v>
      </c>
      <c r="E30" s="54" t="inlineStr">
        <is>
          <t>closure</t>
        </is>
      </c>
      <c r="F30" s="54" t="inlineStr">
        <is>
          <t>Tao muốn xóa hợp đồng vĩnh viễn</t>
        </is>
      </c>
    </row>
    <row r="31">
      <c r="A31" s="22" t="inlineStr">
        <is>
          <t>2513906a</t>
        </is>
      </c>
      <c r="B31" s="51" t="n">
        <v>1</v>
      </c>
      <c r="C31" s="22" t="inlineStr">
        <is>
          <t>2025-01-23</t>
        </is>
      </c>
      <c r="D31" s="35" t="n">
        <v>17</v>
      </c>
      <c r="E31" s="52" t="inlineStr">
        <is>
          <t>promo|fees|closure</t>
        </is>
      </c>
      <c r="F31" s="52" t="inlineStr">
        <is>
          <t>Này thì đóng tài khoản mất phí 100k. Lần đầu tiên t nghe có 1 ctck đóng tài khoản mất 100k. Mà giữ tk để cập nhật thông tin thì không được. Chốt 1 sao</t>
        </is>
      </c>
    </row>
    <row r="32">
      <c r="A32" s="23" t="inlineStr">
        <is>
          <t>bf576f62</t>
        </is>
      </c>
      <c r="B32" s="53" t="n">
        <v>1</v>
      </c>
      <c r="C32" s="23" t="inlineStr">
        <is>
          <t>2025-10-14</t>
        </is>
      </c>
      <c r="D32" s="43" t="n">
        <v>10</v>
      </c>
      <c r="E32" s="54" t="inlineStr">
        <is>
          <t>closure</t>
        </is>
      </c>
      <c r="F32" s="54" t="inlineStr">
        <is>
          <t>ko bt dùng cũng ko cho xóa tài khoản tôi muốn xóa tài khoản</t>
        </is>
      </c>
    </row>
    <row r="33">
      <c r="A33" s="22" t="inlineStr">
        <is>
          <t>0fa0a9f4</t>
        </is>
      </c>
      <c r="B33" s="51" t="n">
        <v>1</v>
      </c>
      <c r="C33" s="22" t="inlineStr">
        <is>
          <t>2022-06-26</t>
        </is>
      </c>
      <c r="D33" s="35" t="n">
        <v>8</v>
      </c>
      <c r="E33" s="52" t="inlineStr">
        <is>
          <t>closure</t>
        </is>
      </c>
      <c r="F33" s="52" t="inlineStr">
        <is>
          <t>Làm sao để xóa tài khoản ạ</t>
        </is>
      </c>
    </row>
    <row r="34">
      <c r="A34" s="23" t="inlineStr">
        <is>
          <t>6e881a12</t>
        </is>
      </c>
      <c r="B34" s="53" t="n">
        <v>1</v>
      </c>
      <c r="C34" s="23" t="inlineStr">
        <is>
          <t>2025-05-18</t>
        </is>
      </c>
      <c r="D34" s="43" t="n">
        <v>17</v>
      </c>
      <c r="E34" s="54" t="inlineStr">
        <is>
          <t>influencer</t>
        </is>
      </c>
      <c r="F34" s="54" t="inlineStr">
        <is>
          <t>vì thấy qc app này qua green tuber nên tải và cho 1 sao nè</t>
        </is>
      </c>
    </row>
    <row r="35">
      <c r="A35" s="22" t="inlineStr">
        <is>
          <t>b2970aa5</t>
        </is>
      </c>
      <c r="B35" s="51" t="n">
        <v>1</v>
      </c>
      <c r="C35" s="22" t="inlineStr">
        <is>
          <t>2021-08-24</t>
        </is>
      </c>
      <c r="D35" s="35" t="n">
        <v>4</v>
      </c>
      <c r="E35" s="52" t="inlineStr">
        <is>
          <t>money|influencer</t>
        </is>
      </c>
      <c r="F35" s="52" t="inlineStr">
        <is>
          <t>Không nhận được tiền đâu, và mấy thằng youtube cũng luôn thổi phồng lên. Nhóm chúng tôi 33k thành viên. và được trả phí nên app này không trả tiền cho</t>
        </is>
      </c>
    </row>
    <row r="36">
      <c r="A36" s="23" t="inlineStr">
        <is>
          <t>3217d538</t>
        </is>
      </c>
      <c r="B36" s="53" t="n">
        <v>1</v>
      </c>
      <c r="C36" s="23" t="inlineStr">
        <is>
          <t>2025-04-04</t>
        </is>
      </c>
      <c r="D36" s="43" t="n">
        <v>3</v>
      </c>
      <c r="E36" s="54" t="inlineStr">
        <is>
          <t>influencer</t>
        </is>
      </c>
      <c r="F36" s="54" t="inlineStr">
        <is>
          <t>coi ytb quản cáo hoài</t>
        </is>
      </c>
    </row>
    <row r="37">
      <c r="A37" s="22" t="inlineStr">
        <is>
          <t>523d5f8f</t>
        </is>
      </c>
      <c r="B37" s="51" t="n">
        <v>1</v>
      </c>
      <c r="C37" s="22" t="inlineStr">
        <is>
          <t>2025-04-30</t>
        </is>
      </c>
      <c r="D37" s="35" t="n">
        <v>0</v>
      </c>
      <c r="E37" s="52" t="inlineStr">
        <is>
          <t>influencer</t>
        </is>
      </c>
      <c r="F37" s="52" t="inlineStr">
        <is>
          <t>mấy app của Học Viện Bò và Gấu :)))</t>
        </is>
      </c>
    </row>
    <row r="38">
      <c r="A38" s="23" t="inlineStr">
        <is>
          <t>658a04b9</t>
        </is>
      </c>
      <c r="B38" s="53" t="n">
        <v>1</v>
      </c>
      <c r="C38" s="23" t="inlineStr">
        <is>
          <t>2024-12-25</t>
        </is>
      </c>
      <c r="D38" s="43" t="n">
        <v>0</v>
      </c>
      <c r="E38" s="54" t="inlineStr">
        <is>
          <t>promo|fraud|influencer</t>
        </is>
      </c>
      <c r="F38" s="54" t="inlineStr">
        <is>
          <t>lùa đảo tải đường linh của học viện bò và gấu rồi mà ko được tăng 200k</t>
        </is>
      </c>
    </row>
    <row r="39">
      <c r="A39" s="22" t="inlineStr">
        <is>
          <t>db32d5d4</t>
        </is>
      </c>
      <c r="B39" s="51" t="n">
        <v>1</v>
      </c>
      <c r="C39" s="22" t="inlineStr">
        <is>
          <t>2025-08-24</t>
        </is>
      </c>
      <c r="D39" s="35" t="n">
        <v>15</v>
      </c>
      <c r="E39" s="52" t="inlineStr">
        <is>
          <t>zalopay</t>
        </is>
      </c>
      <c r="F39" s="52" t="inlineStr">
        <is>
          <t>app có liên kết với zalopay để giao dịch, nhưng khi liên kết sẽ bị zalopay trừ 0,12% mỗi giao dịch mà liên kết này không thể gỡ được. điểm trừ quá lớn</t>
        </is>
      </c>
    </row>
    <row r="40">
      <c r="A40" s="23" t="inlineStr">
        <is>
          <t>31147446</t>
        </is>
      </c>
      <c r="B40" s="53" t="n">
        <v>1</v>
      </c>
      <c r="C40" s="23" t="inlineStr">
        <is>
          <t>2026-07-05</t>
        </is>
      </c>
      <c r="D40" s="43" t="n">
        <v>5</v>
      </c>
      <c r="E40" s="54" t="inlineStr">
        <is>
          <t>stability|fraud|zalopay</t>
        </is>
      </c>
      <c r="F40" s="54" t="inlineStr">
        <is>
          <t>Nền tảng thiếu minh bạch, hoạt động chậm, trung gian, phát sinh nhiều loại chi phí. bị zalopay lừa mua chứng khoán hoàn 50k nên dính bê bôi pnj chán..</t>
        </is>
      </c>
    </row>
    <row r="41">
      <c r="A41" s="22" t="inlineStr">
        <is>
          <t>d2094e6d</t>
        </is>
      </c>
      <c r="B41" s="51" t="n">
        <v>1</v>
      </c>
      <c r="C41" s="22" t="inlineStr">
        <is>
          <t>2025-06-22</t>
        </is>
      </c>
      <c r="D41" s="35" t="n">
        <v>1</v>
      </c>
      <c r="E41" s="52" t="inlineStr">
        <is>
          <t>onboarding|stability|fraud|ui</t>
        </is>
      </c>
      <c r="F41" s="52" t="inlineStr">
        <is>
          <t>phần yêu cầu xác minh quá rắc rối và lừa đảo. Xác minh 3 lần không lỗi chân dung thì lỗi cccd, hơn nữa phần cuộc thi trading còn có người đánh lãi mấy</t>
        </is>
      </c>
    </row>
    <row r="42">
      <c r="A42" s="23" t="inlineStr">
        <is>
          <t>042dbd9d</t>
        </is>
      </c>
      <c r="B42" s="53" t="n">
        <v>1</v>
      </c>
      <c r="C42" s="23" t="inlineStr">
        <is>
          <t>2026-07-29</t>
        </is>
      </c>
      <c r="D42" s="43" t="n">
        <v>0</v>
      </c>
      <c r="E42" s="54" t="inlineStr">
        <is>
          <t>ui</t>
        </is>
      </c>
      <c r="F42" s="54" t="inlineStr">
        <is>
          <t>app tệ. từ giao diện cho đến chức năng. đồ Việt có khác:))))</t>
        </is>
      </c>
    </row>
    <row r="43">
      <c r="A43" s="22" t="inlineStr">
        <is>
          <t>248db681</t>
        </is>
      </c>
      <c r="B43" s="51" t="n">
        <v>5</v>
      </c>
      <c r="C43" s="22" t="inlineStr">
        <is>
          <t>2026-05-15</t>
        </is>
      </c>
      <c r="D43" s="35" t="n">
        <v>13</v>
      </c>
      <c r="E43" s="52" t="inlineStr">
        <is>
          <t>stability|yield|influencer|ui</t>
        </is>
      </c>
      <c r="F43" s="52" t="inlineStr">
        <is>
          <t>Ngoại trừ lâu lâu hay lỗi, thì thực ra tcx, vpx, ssi cũng lỗi bấy bá, thì thực sự app dnse là app ck tốt nhất ttck vn rồi. - phí thấp - tk không ngủ t</t>
        </is>
      </c>
    </row>
    <row r="44">
      <c r="A44" s="23" t="inlineStr">
        <is>
          <t>209c03a4</t>
        </is>
      </c>
      <c r="B44" s="53" t="n">
        <v>4</v>
      </c>
      <c r="C44" s="23" t="inlineStr">
        <is>
          <t>2026-01-22</t>
        </is>
      </c>
      <c r="D44" s="43" t="n">
        <v>0</v>
      </c>
      <c r="E44" s="54" t="inlineStr">
        <is>
          <t>yield</t>
        </is>
      </c>
      <c r="F44" s="54" t="inlineStr">
        <is>
          <t>tôi đan dùng về tiền không ngủ và sinh lời tự động quá linh hoạ tuyệt vời 🎉🎉❤️</t>
        </is>
      </c>
    </row>
    <row r="45">
      <c r="A45" s="22" t="inlineStr">
        <is>
          <t>fa30782f</t>
        </is>
      </c>
      <c r="B45" s="51" t="n">
        <v>5</v>
      </c>
      <c r="C45" s="22" t="inlineStr">
        <is>
          <t>2025-11-27</t>
        </is>
      </c>
      <c r="D45" s="35" t="n">
        <v>0</v>
      </c>
      <c r="E45" s="52" t="inlineStr">
        <is>
          <t>yield|ui</t>
        </is>
      </c>
      <c r="F45" s="52" t="inlineStr">
        <is>
          <t xml:space="preserve">App đặt lệnh dễ dàng nhanh chóng không phải dùng nhiều thao tác. Xem thông tin, tin tức rõ ràng, dễ nhìn nhờ cỡ chữ vừa vặn và tự động thích nghi với </t>
        </is>
      </c>
    </row>
    <row r="46">
      <c r="A46" s="23" t="inlineStr">
        <is>
          <t>4094bad4</t>
        </is>
      </c>
      <c r="B46" s="53" t="n">
        <v>5</v>
      </c>
      <c r="C46" s="23" t="inlineStr">
        <is>
          <t>2025-05-04</t>
        </is>
      </c>
      <c r="D46" s="43" t="n">
        <v>31</v>
      </c>
      <c r="E46" s="54" t="inlineStr">
        <is>
          <t>ui</t>
        </is>
      </c>
      <c r="F46" s="54" t="inlineStr">
        <is>
          <t>Giao diện đơn giản,thuận tiện,phí thấp</t>
        </is>
      </c>
    </row>
    <row r="47">
      <c r="A47" s="22" t="inlineStr">
        <is>
          <t>06c66fa6</t>
        </is>
      </c>
      <c r="B47" s="51" t="n">
        <v>4</v>
      </c>
      <c r="C47" s="22" t="inlineStr">
        <is>
          <t>2025-05-04</t>
        </is>
      </c>
      <c r="D47" s="35" t="n">
        <v>24</v>
      </c>
      <c r="E47" s="52" t="inlineStr">
        <is>
          <t>money</t>
        </is>
      </c>
      <c r="F47" s="52" t="inlineStr">
        <is>
          <t>mong muốn che số dư, khối lượng như vps</t>
        </is>
      </c>
    </row>
    <row r="48">
      <c r="A48" s="23" t="inlineStr">
        <is>
          <t>a018878c</t>
        </is>
      </c>
      <c r="B48" s="53" t="n">
        <v>5</v>
      </c>
      <c r="C48" s="23" t="inlineStr">
        <is>
          <t>2024-11-13</t>
        </is>
      </c>
      <c r="D48" s="43" t="n">
        <v>24</v>
      </c>
      <c r="E48" s="54" t="inlineStr">
        <is>
          <t>money|promo|influencer</t>
        </is>
      </c>
      <c r="F48" s="54" t="inlineStr">
        <is>
          <t>mình đã quá chán nản khuyến nghị của các broker ít kinh nghiệm thì tìm thấy dnse, khuyến nghị của app khá ok với nhà đầu tư nhỏ lẻ, ít kinh nghiệm như</t>
        </is>
      </c>
    </row>
    <row r="49">
      <c r="A49" s="22" t="inlineStr">
        <is>
          <t>3098e894</t>
        </is>
      </c>
      <c r="B49" s="51" t="n">
        <v>5</v>
      </c>
      <c r="C49" s="22" t="inlineStr">
        <is>
          <t>2025-05-08</t>
        </is>
      </c>
      <c r="D49" s="35" t="n">
        <v>20</v>
      </c>
      <c r="E49" s="52" t="inlineStr">
        <is>
          <t>stability</t>
        </is>
      </c>
      <c r="F49" s="52" t="inlineStr">
        <is>
          <t>ko bị lag như bên ssi iboard</t>
        </is>
      </c>
    </row>
    <row r="50">
      <c r="A50" s="23" t="inlineStr">
        <is>
          <t>5529fbb6</t>
        </is>
      </c>
      <c r="B50" s="53" t="n">
        <v>5</v>
      </c>
      <c r="C50" s="23" t="inlineStr">
        <is>
          <t>2025-07-09</t>
        </is>
      </c>
      <c r="D50" s="43" t="n">
        <v>19</v>
      </c>
      <c r="E50" s="54" t="inlineStr"/>
      <c r="F50" s="54" t="inlineStr">
        <is>
          <t>Sao mãi chưa thấy tính năng gửi thông báo thế DNSE ơi? Có setting thông báo các kiểu nhưng không nhận được thông báo nào cả.</t>
        </is>
      </c>
    </row>
    <row r="51">
      <c r="A51" s="22" t="inlineStr">
        <is>
          <t>10f974fe</t>
        </is>
      </c>
      <c r="B51" s="51" t="n">
        <v>5</v>
      </c>
      <c r="C51" s="22" t="inlineStr">
        <is>
          <t>2024-10-12</t>
        </is>
      </c>
      <c r="D51" s="35" t="n">
        <v>19</v>
      </c>
      <c r="E51" s="52" t="inlineStr"/>
      <c r="F51" s="52" t="inlineStr">
        <is>
          <t>có rút được tiền ko mọi người</t>
        </is>
      </c>
    </row>
    <row r="52">
      <c r="A52" s="23" t="inlineStr">
        <is>
          <t>d3a9f078</t>
        </is>
      </c>
      <c r="B52" s="53" t="n">
        <v>4</v>
      </c>
      <c r="C52" s="23" t="inlineStr">
        <is>
          <t>2024-12-21</t>
        </is>
      </c>
      <c r="D52" s="43" t="n">
        <v>18</v>
      </c>
      <c r="E52" s="54" t="inlineStr">
        <is>
          <t>stability</t>
        </is>
      </c>
      <c r="F52" s="54" t="inlineStr">
        <is>
          <t>tiền bán cổ phiếu về chậm quá.</t>
        </is>
      </c>
    </row>
    <row r="53">
      <c r="A53" s="22" t="inlineStr">
        <is>
          <t>2683adda</t>
        </is>
      </c>
      <c r="B53" s="51" t="n">
        <v>5</v>
      </c>
      <c r="C53" s="22" t="inlineStr">
        <is>
          <t>2023-09-01</t>
        </is>
      </c>
      <c r="D53" s="35" t="n">
        <v>18</v>
      </c>
      <c r="E53" s="52" t="inlineStr">
        <is>
          <t>influencer</t>
        </is>
      </c>
      <c r="F53" s="52" t="inlineStr">
        <is>
          <t>Anh chị bò và gấu là người giúp em nơi em có thể học hỏi về app cảm ơn nhiều</t>
        </is>
      </c>
    </row>
    <row r="54">
      <c r="A54" s="23" t="inlineStr">
        <is>
          <t>1e200051</t>
        </is>
      </c>
      <c r="B54" s="53" t="n">
        <v>4</v>
      </c>
      <c r="C54" s="23" t="inlineStr">
        <is>
          <t>2025-07-04</t>
        </is>
      </c>
      <c r="D54" s="43" t="n">
        <v>17</v>
      </c>
      <c r="E54" s="54" t="inlineStr">
        <is>
          <t>money|influencer|ui</t>
        </is>
      </c>
      <c r="F54" s="54" t="inlineStr">
        <is>
          <t xml:space="preserve">ủng hộ kênh youtube Bò và Gấu nên cài đặt app và đầu tư. app khá tốt, mình mua bán cp chưa gặp trục trặc gì. có AI hỗ trợ (chỉ ở mức trung bình), nạp </t>
        </is>
      </c>
    </row>
  </sheetData>
  <autoFilter ref="A4:F5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4" customWidth="1" min="9" max="9"/>
    <col width="13" customWidth="1" min="10" max="10"/>
    <col width="44" customWidth="1" min="11" max="11"/>
  </cols>
  <sheetData>
    <row r="1">
      <c r="A1" s="1" t="inlineStr">
        <is>
          <t>Deriving the priority customer segment</t>
        </is>
      </c>
    </row>
    <row r="2">
      <c r="A2" s="8" t="inlineStr">
        <is>
          <t>Every index cell is a formula reading from the 'Segments 2024' sheet, so editing that sheet updates this one. Both indices are unweighted means, because any weighting chosen after seeing the data would be fitted to the result.</t>
        </is>
      </c>
    </row>
    <row r="4">
      <c r="A4" s="5" t="inlineStr">
        <is>
          <t>Assumption</t>
        </is>
      </c>
    </row>
    <row r="5">
      <c r="A5" s="55" t="inlineStr">
        <is>
          <t>Vietnamese adults aged 15 and over, millions</t>
        </is>
      </c>
      <c r="B5" s="56" t="n">
        <v>80.59999999999999</v>
      </c>
      <c r="C5" s="14" t="inlineStr">
        <is>
          <t>General Statistics Office 2024 population structure applied to a population of 102 million</t>
        </is>
      </c>
      <c r="D5" s="57" t="n"/>
      <c r="E5" s="57" t="n"/>
      <c r="F5" s="57" t="n"/>
      <c r="G5" s="57" t="n"/>
      <c r="H5" s="57" t="n"/>
      <c r="I5" s="57" t="n"/>
      <c r="J5" s="57" t="n"/>
      <c r="K5" s="58" t="n"/>
    </row>
    <row r="6" ht="40" customHeight="1">
      <c r="A6" s="11" t="inlineStr">
        <is>
          <t>Segment population shares</t>
        </is>
      </c>
      <c r="B6" s="34" t="inlineStr">
        <is>
          <t>see column H</t>
        </is>
      </c>
      <c r="C6" s="14" t="inlineStr">
        <is>
          <t>Recovered from the Findex estimates themselves: for each complementary pair, All = w x first + (1 - w) x second for every indicator, and w is the median across indicators whose halves differ by more than 5 points. The income pair comes back as its defined 40/60. See implied_share in 04_segment_model.py.</t>
        </is>
      </c>
      <c r="D6" s="57" t="n"/>
      <c r="E6" s="57" t="n"/>
      <c r="F6" s="57" t="n"/>
      <c r="G6" s="57" t="n"/>
      <c r="H6" s="57" t="n"/>
      <c r="I6" s="57" t="n"/>
      <c r="J6" s="57" t="n"/>
      <c r="K6" s="58" t="n"/>
    </row>
    <row r="8">
      <c r="A8" s="5" t="inlineStr">
        <is>
          <t>Index definitions</t>
        </is>
      </c>
    </row>
    <row r="9" ht="30" customHeight="1">
      <c r="A9" s="9" t="inlineStr">
        <is>
          <t>Index</t>
        </is>
      </c>
      <c r="B9" s="9" t="inlineStr">
        <is>
          <t>Indicator id</t>
        </is>
      </c>
      <c r="C9" s="10" t="inlineStr">
        <is>
          <t>Indicator</t>
        </is>
      </c>
      <c r="D9" s="10" t="inlineStr"/>
      <c r="E9" s="10" t="inlineStr"/>
      <c r="F9" s="10" t="inlineStr"/>
      <c r="G9" s="10" t="inlineStr"/>
      <c r="H9" s="10" t="inlineStr"/>
      <c r="I9" s="10" t="inlineStr"/>
      <c r="J9" s="10" t="inlineStr"/>
      <c r="K9" s="10" t="inlineStr">
        <is>
          <t>Row on Segments 2024</t>
        </is>
      </c>
    </row>
    <row r="10">
      <c r="A10" s="23" t="inlineStr">
        <is>
          <t>A investable surplus</t>
        </is>
      </c>
      <c r="B10" s="23" t="inlineStr">
        <is>
          <t>fin17a</t>
        </is>
      </c>
      <c r="C10" s="54" t="inlineStr">
        <is>
          <t>Saved at a bank or similar institution</t>
        </is>
      </c>
      <c r="D10" s="59" t="n"/>
      <c r="E10" s="59" t="n"/>
      <c r="F10" s="59" t="n"/>
      <c r="G10" s="59" t="n"/>
      <c r="H10" s="59" t="n"/>
      <c r="I10" s="59" t="n"/>
      <c r="J10" s="59" t="n"/>
      <c r="K10" s="53" t="n">
        <v>29</v>
      </c>
    </row>
    <row r="11">
      <c r="A11" s="22" t="inlineStr">
        <is>
          <t>A investable surplus</t>
        </is>
      </c>
      <c r="B11" s="22" t="inlineStr">
        <is>
          <t>fin17dm</t>
        </is>
      </c>
      <c r="C11" s="52" t="inlineStr">
        <is>
          <t>Saved into an account, monthly</t>
        </is>
      </c>
      <c r="D11" s="60" t="n"/>
      <c r="E11" s="60" t="n"/>
      <c r="F11" s="60" t="n"/>
      <c r="G11" s="60" t="n"/>
      <c r="H11" s="60" t="n"/>
      <c r="I11" s="60" t="n"/>
      <c r="J11" s="60" t="n"/>
      <c r="K11" s="51" t="n">
        <v>32</v>
      </c>
    </row>
    <row r="12">
      <c r="A12" s="23" t="inlineStr">
        <is>
          <t>A investable surplus</t>
        </is>
      </c>
      <c r="B12" s="23" t="inlineStr">
        <is>
          <t>fin8</t>
        </is>
      </c>
      <c r="C12" s="54" t="inlineStr">
        <is>
          <t>Stores money in an account</t>
        </is>
      </c>
      <c r="D12" s="59" t="n"/>
      <c r="E12" s="59" t="n"/>
      <c r="F12" s="59" t="n"/>
      <c r="G12" s="59" t="n"/>
      <c r="H12" s="59" t="n"/>
      <c r="I12" s="59" t="n"/>
      <c r="J12" s="59" t="n"/>
      <c r="K12" s="53" t="n">
        <v>33</v>
      </c>
    </row>
    <row r="13">
      <c r="A13" s="22" t="inlineStr">
        <is>
          <t>A investable surplus</t>
        </is>
      </c>
      <c r="B13" s="22" t="inlineStr">
        <is>
          <t>fin17e</t>
        </is>
      </c>
      <c r="C13" s="52" t="inlineStr">
        <is>
          <t>Received interest on savings in the past year</t>
        </is>
      </c>
      <c r="D13" s="60" t="n"/>
      <c r="E13" s="60" t="n"/>
      <c r="F13" s="60" t="n"/>
      <c r="G13" s="60" t="n"/>
      <c r="H13" s="60" t="n"/>
      <c r="I13" s="60" t="n"/>
      <c r="J13" s="60" t="n"/>
      <c r="K13" s="51" t="n">
        <v>34</v>
      </c>
    </row>
    <row r="14">
      <c r="A14" s="23" t="inlineStr">
        <is>
          <t>A investable surplus</t>
        </is>
      </c>
      <c r="B14" s="23" t="inlineStr">
        <is>
          <t>fin17f</t>
        </is>
      </c>
      <c r="C14" s="54" t="inlineStr">
        <is>
          <t>Saved for old age</t>
        </is>
      </c>
      <c r="D14" s="59" t="n"/>
      <c r="E14" s="59" t="n"/>
      <c r="F14" s="59" t="n"/>
      <c r="G14" s="59" t="n"/>
      <c r="H14" s="59" t="n"/>
      <c r="I14" s="59" t="n"/>
      <c r="J14" s="59" t="n"/>
      <c r="K14" s="53" t="n">
        <v>31</v>
      </c>
    </row>
    <row r="15">
      <c r="A15" s="22" t="inlineStr">
        <is>
          <t>A investable surplus</t>
        </is>
      </c>
      <c r="B15" s="22" t="inlineStr">
        <is>
          <t>fin24bd</t>
        </is>
      </c>
      <c r="C15" s="52" t="inlineStr">
        <is>
          <t>Could cover more than two months without income</t>
        </is>
      </c>
      <c r="D15" s="60" t="n"/>
      <c r="E15" s="60" t="n"/>
      <c r="F15" s="60" t="n"/>
      <c r="G15" s="60" t="n"/>
      <c r="H15" s="60" t="n"/>
      <c r="I15" s="60" t="n"/>
      <c r="J15" s="60" t="n"/>
      <c r="K15" s="51" t="n">
        <v>45</v>
      </c>
    </row>
    <row r="16">
      <c r="A16" s="23" t="inlineStr">
        <is>
          <t>B digital habit</t>
        </is>
      </c>
      <c r="B16" s="23" t="inlineStr">
        <is>
          <t>dig.acc</t>
        </is>
      </c>
      <c r="C16" s="54" t="inlineStr">
        <is>
          <t>Digitally enabled account</t>
        </is>
      </c>
      <c r="D16" s="59" t="n"/>
      <c r="E16" s="59" t="n"/>
      <c r="F16" s="59" t="n"/>
      <c r="G16" s="59" t="n"/>
      <c r="H16" s="59" t="n"/>
      <c r="I16" s="59" t="n"/>
      <c r="J16" s="59" t="n"/>
      <c r="K16" s="53" t="n">
        <v>8</v>
      </c>
    </row>
    <row r="17">
      <c r="A17" s="22" t="inlineStr">
        <is>
          <t>B digital habit</t>
        </is>
      </c>
      <c r="B17" s="22" t="inlineStr">
        <is>
          <t>con26d</t>
        </is>
      </c>
      <c r="C17" s="52" t="inlineStr">
        <is>
          <t>Uses the internet daily</t>
        </is>
      </c>
      <c r="D17" s="60" t="n"/>
      <c r="E17" s="60" t="n"/>
      <c r="F17" s="60" t="n"/>
      <c r="G17" s="60" t="n"/>
      <c r="H17" s="60" t="n"/>
      <c r="I17" s="60" t="n"/>
      <c r="J17" s="60" t="n"/>
      <c r="K17" s="51" t="n">
        <v>52</v>
      </c>
    </row>
    <row r="18">
      <c r="A18" s="23" t="inlineStr">
        <is>
          <t>B digital habit</t>
        </is>
      </c>
      <c r="B18" s="23" t="inlineStr">
        <is>
          <t>con9a</t>
        </is>
      </c>
      <c r="C18" s="54" t="inlineStr">
        <is>
          <t>Main phone is a smartphone</t>
        </is>
      </c>
      <c r="D18" s="59" t="n"/>
      <c r="E18" s="59" t="n"/>
      <c r="F18" s="59" t="n"/>
      <c r="G18" s="59" t="n"/>
      <c r="H18" s="59" t="n"/>
      <c r="I18" s="59" t="n"/>
      <c r="J18" s="59" t="n"/>
      <c r="K18" s="53" t="n">
        <v>51</v>
      </c>
    </row>
    <row r="19">
      <c r="A19" s="22" t="inlineStr">
        <is>
          <t>B digital habit</t>
        </is>
      </c>
      <c r="B19" s="22" t="inlineStr">
        <is>
          <t>fin25e3w</t>
        </is>
      </c>
      <c r="C19" s="52" t="inlineStr">
        <is>
          <t>In-store mobile or card payment, weekly</t>
        </is>
      </c>
      <c r="D19" s="60" t="n"/>
      <c r="E19" s="60" t="n"/>
      <c r="F19" s="60" t="n"/>
      <c r="G19" s="60" t="n"/>
      <c r="H19" s="60" t="n"/>
      <c r="I19" s="60" t="n"/>
      <c r="J19" s="60" t="n"/>
      <c r="K19" s="51" t="n">
        <v>19</v>
      </c>
    </row>
    <row r="20">
      <c r="A20" s="23" t="inlineStr">
        <is>
          <t>B digital habit</t>
        </is>
      </c>
      <c r="B20" s="23" t="inlineStr">
        <is>
          <t>fin9b</t>
        </is>
      </c>
      <c r="C20" s="54" t="inlineStr">
        <is>
          <t>Used mobile or internet to check account balance</t>
        </is>
      </c>
      <c r="D20" s="59" t="n"/>
      <c r="E20" s="59" t="n"/>
      <c r="F20" s="59" t="n"/>
      <c r="G20" s="59" t="n"/>
      <c r="H20" s="59" t="n"/>
      <c r="I20" s="59" t="n"/>
      <c r="J20" s="59" t="n"/>
      <c r="K20" s="53" t="n">
        <v>27</v>
      </c>
    </row>
    <row r="21">
      <c r="A21" s="22" t="inlineStr">
        <is>
          <t>B digital habit</t>
        </is>
      </c>
      <c r="B21" s="22" t="inlineStr">
        <is>
          <t>fin32.acc</t>
        </is>
      </c>
      <c r="C21" s="52" t="inlineStr">
        <is>
          <t>Received wages into an account</t>
        </is>
      </c>
      <c r="D21" s="60" t="n"/>
      <c r="E21" s="60" t="n"/>
      <c r="F21" s="60" t="n"/>
      <c r="G21" s="60" t="n"/>
      <c r="H21" s="60" t="n"/>
      <c r="I21" s="60" t="n"/>
      <c r="J21" s="60" t="n"/>
      <c r="K21" s="51" t="n">
        <v>39</v>
      </c>
    </row>
    <row r="23">
      <c r="A23" s="5" t="inlineStr">
        <is>
          <t>Segment scores</t>
        </is>
      </c>
    </row>
    <row r="24" ht="46" customHeight="1">
      <c r="A24" s="9" t="inlineStr">
        <is>
          <t>Segment</t>
        </is>
      </c>
      <c r="B24" s="10" t="inlineStr">
        <is>
          <t>Index A investable</t>
        </is>
      </c>
      <c r="C24" s="10" t="inlineStr">
        <is>
          <t>Index B digital</t>
        </is>
      </c>
      <c r="D24" s="10" t="inlineStr">
        <is>
          <t>Composite</t>
        </is>
      </c>
      <c r="E24" s="10" t="inlineStr">
        <is>
          <t>Account, per cent</t>
        </is>
      </c>
      <c r="F24" s="10" t="inlineStr">
        <is>
          <t>Saved at an institution, per cent</t>
        </is>
      </c>
      <c r="G24" s="10" t="inlineStr">
        <is>
          <t>Activation gap, points</t>
        </is>
      </c>
      <c r="H24" s="10" t="inlineStr">
        <is>
          <t>Population share, per cent</t>
        </is>
      </c>
      <c r="I24" s="10" t="inlineStr">
        <is>
          <t>Unconverted adults, millions</t>
        </is>
      </c>
      <c r="J24" s="10" t="inlineStr">
        <is>
          <t>Priority score</t>
        </is>
      </c>
      <c r="K24" s="10" t="inlineStr">
        <is>
          <t>Reading</t>
        </is>
      </c>
    </row>
    <row r="25">
      <c r="A25" s="15" t="inlineStr">
        <is>
          <t>All adults</t>
        </is>
      </c>
      <c r="B25" s="61">
        <f>AVERAGE('Segments 2024'!D29,'Segments 2024'!D32,'Segments 2024'!D33,'Segments 2024'!D34,'Segments 2024'!D31,'Segments 2024'!D45)</f>
        <v/>
      </c>
      <c r="C25" s="61">
        <f>AVERAGE('Segments 2024'!D8,'Segments 2024'!D52,'Segments 2024'!D51,'Segments 2024'!D19,'Segments 2024'!D27,'Segments 2024'!D39)</f>
        <v/>
      </c>
      <c r="D25" s="18">
        <f>AVERAGE(B25,C25)</f>
        <v/>
      </c>
      <c r="E25" s="61">
        <f>'Segments 2024'!D5</f>
        <v/>
      </c>
      <c r="F25" s="61">
        <f>'Segments 2024'!D29</f>
        <v/>
      </c>
      <c r="G25" s="18">
        <f>E25-F25</f>
        <v/>
      </c>
      <c r="H25" s="47" t="n">
        <v>100</v>
      </c>
      <c r="I25" s="62">
        <f>$B$5*H25/100*G25/100</f>
        <v/>
      </c>
      <c r="J25" s="62">
        <f>D25*I25/100</f>
        <v/>
      </c>
      <c r="K25" s="19" t="inlineStr">
        <is>
          <t>National benchmark, not a segment.</t>
        </is>
      </c>
    </row>
    <row r="26">
      <c r="A26" s="11" t="inlineStr">
        <is>
          <t>Women</t>
        </is>
      </c>
      <c r="B26" s="63">
        <f>AVERAGE('Segments 2024'!E29,'Segments 2024'!E32,'Segments 2024'!E33,'Segments 2024'!E34,'Segments 2024'!E31,'Segments 2024'!E45)</f>
        <v/>
      </c>
      <c r="C26" s="63">
        <f>AVERAGE('Segments 2024'!E8,'Segments 2024'!E52,'Segments 2024'!E51,'Segments 2024'!E19,'Segments 2024'!E27,'Segments 2024'!E39)</f>
        <v/>
      </c>
      <c r="D26" s="13">
        <f>AVERAGE(B26,C26)</f>
        <v/>
      </c>
      <c r="E26" s="63">
        <f>'Segments 2024'!E5</f>
        <v/>
      </c>
      <c r="F26" s="63">
        <f>'Segments 2024'!E29</f>
        <v/>
      </c>
      <c r="G26" s="13">
        <f>E26-F26</f>
        <v/>
      </c>
      <c r="H26" s="48" t="n">
        <v>51.2</v>
      </c>
      <c r="I26" s="64">
        <f>$B$5*H26/100*G26/100</f>
        <v/>
      </c>
      <c r="J26" s="64">
        <f>D26*I26/100</f>
        <v/>
      </c>
      <c r="K26" s="14" t="inlineStr"/>
    </row>
    <row r="27">
      <c r="A27" s="15" t="inlineStr">
        <is>
          <t>Men</t>
        </is>
      </c>
      <c r="B27" s="61">
        <f>AVERAGE('Segments 2024'!F29,'Segments 2024'!F32,'Segments 2024'!F33,'Segments 2024'!F34,'Segments 2024'!F31,'Segments 2024'!F45)</f>
        <v/>
      </c>
      <c r="C27" s="61">
        <f>AVERAGE('Segments 2024'!F8,'Segments 2024'!F52,'Segments 2024'!F51,'Segments 2024'!F19,'Segments 2024'!F27,'Segments 2024'!F39)</f>
        <v/>
      </c>
      <c r="D27" s="18">
        <f>AVERAGE(B27,C27)</f>
        <v/>
      </c>
      <c r="E27" s="61">
        <f>'Segments 2024'!F5</f>
        <v/>
      </c>
      <c r="F27" s="61">
        <f>'Segments 2024'!F29</f>
        <v/>
      </c>
      <c r="G27" s="18">
        <f>E27-F27</f>
        <v/>
      </c>
      <c r="H27" s="47" t="n">
        <v>48.8</v>
      </c>
      <c r="I27" s="62">
        <f>$B$5*H27/100*G27/100</f>
        <v/>
      </c>
      <c r="J27" s="62">
        <f>D27*I27/100</f>
        <v/>
      </c>
      <c r="K27" s="19" t="inlineStr"/>
    </row>
    <row r="28">
      <c r="A28" s="11" t="inlineStr">
        <is>
          <t>Young (15-24)</t>
        </is>
      </c>
      <c r="B28" s="63">
        <f>AVERAGE('Segments 2024'!G29,'Segments 2024'!G32,'Segments 2024'!G33,'Segments 2024'!G34,'Segments 2024'!G31,'Segments 2024'!G45)</f>
        <v/>
      </c>
      <c r="C28" s="63">
        <f>AVERAGE('Segments 2024'!G8,'Segments 2024'!G52,'Segments 2024'!G51,'Segments 2024'!G19,'Segments 2024'!G27,'Segments 2024'!G39)</f>
        <v/>
      </c>
      <c r="D28" s="13">
        <f>AVERAGE(B28,C28)</f>
        <v/>
      </c>
      <c r="E28" s="63">
        <f>'Segments 2024'!G5</f>
        <v/>
      </c>
      <c r="F28" s="63">
        <f>'Segments 2024'!G29</f>
        <v/>
      </c>
      <c r="G28" s="13">
        <f>E28-F28</f>
        <v/>
      </c>
      <c r="H28" s="48" t="n">
        <v>18.2</v>
      </c>
      <c r="I28" s="64">
        <f>$B$5*H28/100*G28/100</f>
        <v/>
      </c>
      <c r="J28" s="64">
        <f>D28*I28/100</f>
        <v/>
      </c>
      <c r="K28" s="14" t="inlineStr">
        <is>
          <t>Widest separation between digital habit and investable surplus, and the largest activation gap of any segment. Cheap to acquire and hard to fund.</t>
        </is>
      </c>
    </row>
    <row r="29">
      <c r="A29" s="15" t="inlineStr">
        <is>
          <t>Older (25+)</t>
        </is>
      </c>
      <c r="B29" s="61">
        <f>AVERAGE('Segments 2024'!H29,'Segments 2024'!H32,'Segments 2024'!H33,'Segments 2024'!H34,'Segments 2024'!H31,'Segments 2024'!H45)</f>
        <v/>
      </c>
      <c r="C29" s="61">
        <f>AVERAGE('Segments 2024'!H8,'Segments 2024'!H52,'Segments 2024'!H51,'Segments 2024'!H19,'Segments 2024'!H27,'Segments 2024'!H39)</f>
        <v/>
      </c>
      <c r="D29" s="18">
        <f>AVERAGE(B29,C29)</f>
        <v/>
      </c>
      <c r="E29" s="61">
        <f>'Segments 2024'!H5</f>
        <v/>
      </c>
      <c r="F29" s="61">
        <f>'Segments 2024'!H29</f>
        <v/>
      </c>
      <c r="G29" s="18">
        <f>E29-F29</f>
        <v/>
      </c>
      <c r="H29" s="47" t="n">
        <v>81.8</v>
      </c>
      <c r="I29" s="62">
        <f>$B$5*H29/100*G29/100</f>
        <v/>
      </c>
      <c r="J29" s="62">
        <f>D29*I29/100</f>
        <v/>
      </c>
      <c r="K29" s="19" t="inlineStr"/>
    </row>
    <row r="30">
      <c r="A30" s="11" t="inlineStr">
        <is>
          <t>Primary educ or less</t>
        </is>
      </c>
      <c r="B30" s="63">
        <f>AVERAGE('Segments 2024'!I29,'Segments 2024'!I32,'Segments 2024'!I33,'Segments 2024'!I34,'Segments 2024'!I31,'Segments 2024'!I45)</f>
        <v/>
      </c>
      <c r="C30" s="63">
        <f>AVERAGE('Segments 2024'!I8,'Segments 2024'!I52,'Segments 2024'!I51,'Segments 2024'!I19,'Segments 2024'!I27,'Segments 2024'!I39)</f>
        <v/>
      </c>
      <c r="D30" s="13">
        <f>AVERAGE(B30,C30)</f>
        <v/>
      </c>
      <c r="E30" s="63">
        <f>'Segments 2024'!I5</f>
        <v/>
      </c>
      <c r="F30" s="63">
        <f>'Segments 2024'!I29</f>
        <v/>
      </c>
      <c r="G30" s="13">
        <f>E30-F30</f>
        <v/>
      </c>
      <c r="H30" s="48" t="n">
        <v>11.2</v>
      </c>
      <c r="I30" s="64">
        <f>$B$5*H30/100*G30/100</f>
        <v/>
      </c>
      <c r="J30" s="64">
        <f>D30*I30/100</f>
        <v/>
      </c>
      <c r="K30" s="14" t="inlineStr">
        <is>
          <t>Lowest propensity on both indices.</t>
        </is>
      </c>
    </row>
    <row r="31">
      <c r="A31" s="15" t="inlineStr">
        <is>
          <t>Secondary educ or more</t>
        </is>
      </c>
      <c r="B31" s="61">
        <f>AVERAGE('Segments 2024'!J29,'Segments 2024'!J32,'Segments 2024'!J33,'Segments 2024'!J34,'Segments 2024'!J31,'Segments 2024'!J45)</f>
        <v/>
      </c>
      <c r="C31" s="61">
        <f>AVERAGE('Segments 2024'!J8,'Segments 2024'!J52,'Segments 2024'!J51,'Segments 2024'!J19,'Segments 2024'!J27,'Segments 2024'!J39)</f>
        <v/>
      </c>
      <c r="D31" s="18">
        <f>AVERAGE(B31,C31)</f>
        <v/>
      </c>
      <c r="E31" s="61">
        <f>'Segments 2024'!J5</f>
        <v/>
      </c>
      <c r="F31" s="61">
        <f>'Segments 2024'!J29</f>
        <v/>
      </c>
      <c r="G31" s="18">
        <f>E31-F31</f>
        <v/>
      </c>
      <c r="H31" s="47" t="n">
        <v>88.8</v>
      </c>
      <c r="I31" s="62">
        <f>$B$5*H31/100*G31/100</f>
        <v/>
      </c>
      <c r="J31" s="62">
        <f>D31*I31/100</f>
        <v/>
      </c>
      <c r="K31" s="19" t="inlineStr">
        <is>
          <t>Highest priority score, 3.9 per cent above the next.</t>
        </is>
      </c>
    </row>
    <row r="32">
      <c r="A32" s="11" t="inlineStr">
        <is>
          <t>Poorest 40%</t>
        </is>
      </c>
      <c r="B32" s="63">
        <f>AVERAGE('Segments 2024'!K29,'Segments 2024'!K32,'Segments 2024'!K33,'Segments 2024'!K34,'Segments 2024'!K31,'Segments 2024'!K45)</f>
        <v/>
      </c>
      <c r="C32" s="63">
        <f>AVERAGE('Segments 2024'!K8,'Segments 2024'!K52,'Segments 2024'!K51,'Segments 2024'!K19,'Segments 2024'!K27,'Segments 2024'!K39)</f>
        <v/>
      </c>
      <c r="D32" s="13">
        <f>AVERAGE(B32,C32)</f>
        <v/>
      </c>
      <c r="E32" s="63">
        <f>'Segments 2024'!K5</f>
        <v/>
      </c>
      <c r="F32" s="63">
        <f>'Segments 2024'!K29</f>
        <v/>
      </c>
      <c r="G32" s="13">
        <f>E32-F32</f>
        <v/>
      </c>
      <c r="H32" s="48" t="n">
        <v>40</v>
      </c>
      <c r="I32" s="64">
        <f>$B$5*H32/100*G32/100</f>
        <v/>
      </c>
      <c r="J32" s="64">
        <f>D32*I32/100</f>
        <v/>
      </c>
      <c r="K32" s="14" t="inlineStr"/>
    </row>
    <row r="33">
      <c r="A33" s="15" t="inlineStr">
        <is>
          <t>Richest 60%</t>
        </is>
      </c>
      <c r="B33" s="61">
        <f>AVERAGE('Segments 2024'!L29,'Segments 2024'!L32,'Segments 2024'!L33,'Segments 2024'!L34,'Segments 2024'!L31,'Segments 2024'!L45)</f>
        <v/>
      </c>
      <c r="C33" s="61">
        <f>AVERAGE('Segments 2024'!L8,'Segments 2024'!L52,'Segments 2024'!L51,'Segments 2024'!L19,'Segments 2024'!L27,'Segments 2024'!L39)</f>
        <v/>
      </c>
      <c r="D33" s="18">
        <f>AVERAGE(B33,C33)</f>
        <v/>
      </c>
      <c r="E33" s="61">
        <f>'Segments 2024'!L5</f>
        <v/>
      </c>
      <c r="F33" s="61">
        <f>'Segments 2024'!L29</f>
        <v/>
      </c>
      <c r="G33" s="18">
        <f>E33-F33</f>
        <v/>
      </c>
      <c r="H33" s="47" t="n">
        <v>60</v>
      </c>
      <c r="I33" s="62">
        <f>$B$5*H33/100*G33/100</f>
        <v/>
      </c>
      <c r="J33" s="62">
        <f>D33*I33/100</f>
        <v/>
      </c>
      <c r="K33" s="19" t="inlineStr">
        <is>
          <t>Third-highest priority score, 9.5 per cent above the next. Highest propensity on both indices.</t>
        </is>
      </c>
    </row>
    <row r="34">
      <c r="A34" s="11" t="inlineStr">
        <is>
          <t>Rural</t>
        </is>
      </c>
      <c r="B34" s="63">
        <f>AVERAGE('Segments 2024'!M29,'Segments 2024'!M32,'Segments 2024'!M33,'Segments 2024'!M34,'Segments 2024'!M31,'Segments 2024'!M45)</f>
        <v/>
      </c>
      <c r="C34" s="63">
        <f>AVERAGE('Segments 2024'!M8,'Segments 2024'!M52,'Segments 2024'!M51,'Segments 2024'!M19,'Segments 2024'!M27,'Segments 2024'!M39)</f>
        <v/>
      </c>
      <c r="D34" s="13">
        <f>AVERAGE(B34,C34)</f>
        <v/>
      </c>
      <c r="E34" s="63">
        <f>'Segments 2024'!M5</f>
        <v/>
      </c>
      <c r="F34" s="63">
        <f>'Segments 2024'!M29</f>
        <v/>
      </c>
      <c r="G34" s="13">
        <f>E34-F34</f>
        <v/>
      </c>
      <c r="H34" s="48" t="n">
        <v>67</v>
      </c>
      <c r="I34" s="64">
        <f>$B$5*H34/100*G34/100</f>
        <v/>
      </c>
      <c r="J34" s="64">
        <f>D34*I34/100</f>
        <v/>
      </c>
      <c r="K34" s="14" t="inlineStr"/>
    </row>
    <row r="35">
      <c r="A35" s="15" t="inlineStr">
        <is>
          <t>Urban</t>
        </is>
      </c>
      <c r="B35" s="61">
        <f>AVERAGE('Segments 2024'!N29,'Segments 2024'!N32,'Segments 2024'!N33,'Segments 2024'!N34,'Segments 2024'!N31,'Segments 2024'!N45)</f>
        <v/>
      </c>
      <c r="C35" s="61">
        <f>AVERAGE('Segments 2024'!N8,'Segments 2024'!N52,'Segments 2024'!N51,'Segments 2024'!N19,'Segments 2024'!N27,'Segments 2024'!N39)</f>
        <v/>
      </c>
      <c r="D35" s="18">
        <f>AVERAGE(B35,C35)</f>
        <v/>
      </c>
      <c r="E35" s="61">
        <f>'Segments 2024'!N5</f>
        <v/>
      </c>
      <c r="F35" s="61">
        <f>'Segments 2024'!N29</f>
        <v/>
      </c>
      <c r="G35" s="18">
        <f>E35-F35</f>
        <v/>
      </c>
      <c r="H35" s="47" t="n">
        <v>33</v>
      </c>
      <c r="I35" s="62">
        <f>$B$5*H35/100*G35/100</f>
        <v/>
      </c>
      <c r="J35" s="62">
        <f>D35*I35/100</f>
        <v/>
      </c>
      <c r="K35" s="19" t="inlineStr"/>
    </row>
    <row r="36">
      <c r="A36" s="11" t="inlineStr">
        <is>
          <t>Out of labour force</t>
        </is>
      </c>
      <c r="B36" s="63">
        <f>AVERAGE('Segments 2024'!O29,'Segments 2024'!O32,'Segments 2024'!O33,'Segments 2024'!O34,'Segments 2024'!O31,'Segments 2024'!O45)</f>
        <v/>
      </c>
      <c r="C36" s="63">
        <f>AVERAGE('Segments 2024'!O8,'Segments 2024'!O52,'Segments 2024'!O51,'Segments 2024'!O19,'Segments 2024'!O27,'Segments 2024'!O39)</f>
        <v/>
      </c>
      <c r="D36" s="13">
        <f>AVERAGE(B36,C36)</f>
        <v/>
      </c>
      <c r="E36" s="63">
        <f>'Segments 2024'!O5</f>
        <v/>
      </c>
      <c r="F36" s="63">
        <f>'Segments 2024'!O29</f>
        <v/>
      </c>
      <c r="G36" s="13">
        <f>E36-F36</f>
        <v/>
      </c>
      <c r="H36" s="48" t="n">
        <v>20.1</v>
      </c>
      <c r="I36" s="64">
        <f>$B$5*H36/100*G36/100</f>
        <v/>
      </c>
      <c r="J36" s="64">
        <f>D36*I36/100</f>
        <v/>
      </c>
      <c r="K36" s="14" t="inlineStr"/>
    </row>
    <row r="37">
      <c r="A37" s="15" t="inlineStr">
        <is>
          <t>In labour force</t>
        </is>
      </c>
      <c r="B37" s="61">
        <f>AVERAGE('Segments 2024'!P29,'Segments 2024'!P32,'Segments 2024'!P33,'Segments 2024'!P34,'Segments 2024'!P31,'Segments 2024'!P45)</f>
        <v/>
      </c>
      <c r="C37" s="61">
        <f>AVERAGE('Segments 2024'!P8,'Segments 2024'!P52,'Segments 2024'!P51,'Segments 2024'!P19,'Segments 2024'!P27,'Segments 2024'!P39)</f>
        <v/>
      </c>
      <c r="D37" s="18">
        <f>AVERAGE(B37,C37)</f>
        <v/>
      </c>
      <c r="E37" s="61">
        <f>'Segments 2024'!P5</f>
        <v/>
      </c>
      <c r="F37" s="61">
        <f>'Segments 2024'!P29</f>
        <v/>
      </c>
      <c r="G37" s="18">
        <f>E37-F37</f>
        <v/>
      </c>
      <c r="H37" s="47" t="n">
        <v>79.90000000000001</v>
      </c>
      <c r="I37" s="62">
        <f>$B$5*H37/100*G37/100</f>
        <v/>
      </c>
      <c r="J37" s="62">
        <f>D37*I37/100</f>
        <v/>
      </c>
      <c r="K37" s="19" t="inlineStr">
        <is>
          <t>Second-highest priority score, 11.9 per cent above the next.</t>
        </is>
      </c>
    </row>
    <row r="39">
      <c r="A39" s="11" t="inlineStr">
        <is>
          <t>Spread, Index B less Index A</t>
        </is>
      </c>
      <c r="B39" s="13">
        <f>SUMPRODUCT(MAX(C26:C37-B26:B37))</f>
        <v/>
      </c>
      <c r="C39" s="14" t="inlineStr">
        <is>
          <t>Array formula. The widest spread belongs to adults aged 15 to 24.</t>
        </is>
      </c>
      <c r="D39" s="57" t="n"/>
      <c r="E39" s="57" t="n"/>
      <c r="F39" s="57" t="n"/>
      <c r="G39" s="57" t="n"/>
      <c r="H39" s="57" t="n"/>
      <c r="I39" s="57" t="n"/>
      <c r="J39" s="57" t="n"/>
      <c r="K39" s="58" t="n"/>
    </row>
  </sheetData>
  <mergeCells count="15">
    <mergeCell ref="C17:J17"/>
    <mergeCell ref="C12:J12"/>
    <mergeCell ref="C21:J21"/>
    <mergeCell ref="C5:K5"/>
    <mergeCell ref="C20:J20"/>
    <mergeCell ref="C15:J15"/>
    <mergeCell ref="C11:J11"/>
    <mergeCell ref="C10:J10"/>
    <mergeCell ref="C16:J16"/>
    <mergeCell ref="C14:J14"/>
    <mergeCell ref="C13:J13"/>
    <mergeCell ref="C19:J19"/>
    <mergeCell ref="C39:K39"/>
    <mergeCell ref="C18:J18"/>
    <mergeCell ref="C6:K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55"/>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52" customWidth="1" min="2" max="2"/>
    <col width="16"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Vietnam Findex 2024: indicators by segment</t>
        </is>
      </c>
    </row>
    <row r="2">
      <c r="A2" s="8" t="inlineStr">
        <is>
          <t>Percentage of adults aged 15+ in each segment. Source: World Bank Global Findex Database 2025, retrieved via the World Bank API, 20 September 2026.</t>
        </is>
      </c>
    </row>
    <row r="4" ht="34" customHeight="1">
      <c r="A4" s="9" t="inlineStr">
        <is>
          <t>Indicator id</t>
        </is>
      </c>
      <c r="B4" s="9" t="inlineStr">
        <is>
          <t>Indicator</t>
        </is>
      </c>
      <c r="C4" s="9" t="inlineStr">
        <is>
          <t>Theme</t>
        </is>
      </c>
      <c r="D4" s="10" t="inlineStr">
        <is>
          <t>All adults</t>
        </is>
      </c>
      <c r="E4" s="10" t="inlineStr">
        <is>
          <t>Women</t>
        </is>
      </c>
      <c r="F4" s="10" t="inlineStr">
        <is>
          <t>Men</t>
        </is>
      </c>
      <c r="G4" s="10" t="inlineStr">
        <is>
          <t>Young (15-24)</t>
        </is>
      </c>
      <c r="H4" s="10" t="inlineStr">
        <is>
          <t>Older (25+)</t>
        </is>
      </c>
      <c r="I4" s="10" t="inlineStr">
        <is>
          <t>Primary educ or less</t>
        </is>
      </c>
      <c r="J4" s="10" t="inlineStr">
        <is>
          <t>Secondary educ or more</t>
        </is>
      </c>
      <c r="K4" s="10" t="inlineStr">
        <is>
          <t>Poorest 40%</t>
        </is>
      </c>
      <c r="L4" s="10" t="inlineStr">
        <is>
          <t>Richest 60%</t>
        </is>
      </c>
      <c r="M4" s="10" t="inlineStr">
        <is>
          <t>Rural</t>
        </is>
      </c>
      <c r="N4" s="10" t="inlineStr">
        <is>
          <t>Urban</t>
        </is>
      </c>
      <c r="O4" s="10" t="inlineStr">
        <is>
          <t>Out of labour force</t>
        </is>
      </c>
      <c r="P4" s="10" t="inlineStr">
        <is>
          <t>In labour force</t>
        </is>
      </c>
    </row>
    <row r="5">
      <c r="A5" s="22" t="inlineStr">
        <is>
          <t>account.t.d</t>
        </is>
      </c>
      <c r="B5" s="22" t="inlineStr">
        <is>
          <t>Has an account (any)</t>
        </is>
      </c>
      <c r="C5" s="22" t="inlineStr">
        <is>
          <t>Access</t>
        </is>
      </c>
      <c r="D5" s="65" t="n">
        <v>70.55</v>
      </c>
      <c r="E5" s="65" t="n">
        <v>69.88</v>
      </c>
      <c r="F5" s="65" t="n">
        <v>71.25</v>
      </c>
      <c r="G5" s="65" t="n">
        <v>72.16</v>
      </c>
      <c r="H5" s="65" t="n">
        <v>70.19</v>
      </c>
      <c r="I5" s="65" t="n">
        <v>33.48</v>
      </c>
      <c r="J5" s="65" t="n">
        <v>75.22</v>
      </c>
      <c r="K5" s="65" t="n">
        <v>48.11</v>
      </c>
      <c r="L5" s="65" t="n">
        <v>85.48999999999999</v>
      </c>
      <c r="M5" s="65" t="n">
        <v>67.37</v>
      </c>
      <c r="N5" s="65" t="n">
        <v>77.01000000000001</v>
      </c>
      <c r="O5" s="65" t="n">
        <v>41.31</v>
      </c>
      <c r="P5" s="65" t="n">
        <v>77.89</v>
      </c>
    </row>
    <row r="6">
      <c r="A6" s="23" t="inlineStr">
        <is>
          <t>fiaccount.t.d</t>
        </is>
      </c>
      <c r="B6" s="23" t="inlineStr">
        <is>
          <t>Bank or similar institution account</t>
        </is>
      </c>
      <c r="C6" s="23" t="inlineStr">
        <is>
          <t>Access</t>
        </is>
      </c>
      <c r="D6" s="66" t="n">
        <v>69.84999999999999</v>
      </c>
      <c r="E6" s="66" t="n">
        <v>69.42</v>
      </c>
      <c r="F6" s="66" t="n">
        <v>70.31</v>
      </c>
      <c r="G6" s="66" t="n">
        <v>70.58</v>
      </c>
      <c r="H6" s="66" t="n">
        <v>69.69</v>
      </c>
      <c r="I6" s="66" t="n">
        <v>33.15</v>
      </c>
      <c r="J6" s="66" t="n">
        <v>74.48</v>
      </c>
      <c r="K6" s="66" t="n">
        <v>47.66</v>
      </c>
      <c r="L6" s="66" t="n">
        <v>84.63</v>
      </c>
      <c r="M6" s="66" t="n">
        <v>66.45999999999999</v>
      </c>
      <c r="N6" s="66" t="n">
        <v>76.75</v>
      </c>
      <c r="O6" s="66" t="n">
        <v>40.73</v>
      </c>
      <c r="P6" s="66" t="n">
        <v>77.16</v>
      </c>
    </row>
    <row r="7">
      <c r="A7" s="22" t="inlineStr">
        <is>
          <t>mobileaccount.t.d</t>
        </is>
      </c>
      <c r="B7" s="22" t="inlineStr">
        <is>
          <t>Mobile money account</t>
        </is>
      </c>
      <c r="C7" s="22" t="inlineStr">
        <is>
          <t>Access</t>
        </is>
      </c>
      <c r="D7" s="65" t="n">
        <v>38.72</v>
      </c>
      <c r="E7" s="65" t="n">
        <v>37.02</v>
      </c>
      <c r="F7" s="65" t="n">
        <v>40.51</v>
      </c>
      <c r="G7" s="65" t="n">
        <v>51.53</v>
      </c>
      <c r="H7" s="65" t="n">
        <v>35.88</v>
      </c>
      <c r="I7" s="65" t="n">
        <v>11.52</v>
      </c>
      <c r="J7" s="65" t="n">
        <v>42.21</v>
      </c>
      <c r="K7" s="65" t="n">
        <v>22.32</v>
      </c>
      <c r="L7" s="65" t="n">
        <v>49.64</v>
      </c>
      <c r="M7" s="65" t="n">
        <v>36.19</v>
      </c>
      <c r="N7" s="65" t="n">
        <v>43.86</v>
      </c>
      <c r="O7" s="65" t="n">
        <v>18.2</v>
      </c>
      <c r="P7" s="65" t="n">
        <v>43.87</v>
      </c>
    </row>
    <row r="8">
      <c r="A8" s="23" t="inlineStr">
        <is>
          <t>dig.acc</t>
        </is>
      </c>
      <c r="B8" s="23" t="inlineStr">
        <is>
          <t>Digitally enabled account</t>
        </is>
      </c>
      <c r="C8" s="23" t="inlineStr">
        <is>
          <t>Access</t>
        </is>
      </c>
      <c r="D8" s="66" t="n">
        <v>62.74</v>
      </c>
      <c r="E8" s="66" t="n">
        <v>62.39</v>
      </c>
      <c r="F8" s="66" t="n">
        <v>63.11</v>
      </c>
      <c r="G8" s="66" t="n">
        <v>71.06</v>
      </c>
      <c r="H8" s="66" t="n">
        <v>60.89</v>
      </c>
      <c r="I8" s="66" t="n">
        <v>19.75</v>
      </c>
      <c r="J8" s="66" t="n">
        <v>68.14</v>
      </c>
      <c r="K8" s="66" t="n">
        <v>37.58</v>
      </c>
      <c r="L8" s="66" t="n">
        <v>79.48999999999999</v>
      </c>
      <c r="M8" s="66" t="n">
        <v>59.3</v>
      </c>
      <c r="N8" s="66" t="n">
        <v>69.73</v>
      </c>
      <c r="O8" s="66" t="n">
        <v>31.32</v>
      </c>
      <c r="P8" s="66" t="n">
        <v>70.62</v>
      </c>
    </row>
    <row r="9">
      <c r="A9" s="22" t="inlineStr">
        <is>
          <t>fin2.t.d</t>
        </is>
      </c>
      <c r="B9" s="22" t="inlineStr">
        <is>
          <t>Owns a debit card</t>
        </is>
      </c>
      <c r="C9" s="22" t="inlineStr">
        <is>
          <t>Access</t>
        </is>
      </c>
      <c r="D9" s="65" t="n">
        <v>64.81999999999999</v>
      </c>
      <c r="E9" s="65" t="n">
        <v>63.65</v>
      </c>
      <c r="F9" s="65" t="n">
        <v>66.04000000000001</v>
      </c>
      <c r="G9" s="65" t="n">
        <v>64.68000000000001</v>
      </c>
      <c r="H9" s="65" t="n">
        <v>64.84999999999999</v>
      </c>
      <c r="I9" s="65" t="n">
        <v>26.4</v>
      </c>
      <c r="J9" s="65" t="n">
        <v>69.65000000000001</v>
      </c>
      <c r="K9" s="65" t="n">
        <v>42.18</v>
      </c>
      <c r="L9" s="65" t="n">
        <v>79.89</v>
      </c>
      <c r="M9" s="65" t="n">
        <v>60.46</v>
      </c>
      <c r="N9" s="65" t="n">
        <v>73.67</v>
      </c>
      <c r="O9" s="65" t="n">
        <v>31.94</v>
      </c>
      <c r="P9" s="65" t="n">
        <v>73.06999999999999</v>
      </c>
    </row>
    <row r="10">
      <c r="A10" s="23" t="inlineStr">
        <is>
          <t>fin4.d</t>
        </is>
      </c>
      <c r="B10" s="23" t="inlineStr">
        <is>
          <t>First account opened to receive wages or government money</t>
        </is>
      </c>
      <c r="C10" s="23" t="inlineStr">
        <is>
          <t>Access</t>
        </is>
      </c>
      <c r="D10" s="66" t="n">
        <v>43.49</v>
      </c>
      <c r="E10" s="66" t="n">
        <v>42.07</v>
      </c>
      <c r="F10" s="66" t="n">
        <v>44.98</v>
      </c>
      <c r="G10" s="66" t="n">
        <v>36.75</v>
      </c>
      <c r="H10" s="66" t="n">
        <v>44.99</v>
      </c>
      <c r="I10" s="66" t="n">
        <v>19.22</v>
      </c>
      <c r="J10" s="66" t="n">
        <v>46.51</v>
      </c>
      <c r="K10" s="66" t="n">
        <v>26.52</v>
      </c>
      <c r="L10" s="66" t="n">
        <v>54.79</v>
      </c>
      <c r="M10" s="66" t="n">
        <v>39.34</v>
      </c>
      <c r="N10" s="66" t="n">
        <v>51.94</v>
      </c>
      <c r="O10" s="66" t="n">
        <v>16.04</v>
      </c>
      <c r="P10" s="66" t="n">
        <v>50.38</v>
      </c>
    </row>
    <row r="11">
      <c r="A11" s="22" t="inlineStr">
        <is>
          <t>fin11e</t>
        </is>
      </c>
      <c r="B11" s="22" t="inlineStr">
        <is>
          <t>No account: family member already has one</t>
        </is>
      </c>
      <c r="C11" s="22" t="inlineStr">
        <is>
          <t>Access</t>
        </is>
      </c>
      <c r="D11" s="65" t="n">
        <v>16.51</v>
      </c>
      <c r="E11" s="65" t="n">
        <v>18.82</v>
      </c>
      <c r="F11" s="65" t="n">
        <v>14.09</v>
      </c>
      <c r="G11" s="65" t="n">
        <v>20.05</v>
      </c>
      <c r="H11" s="65" t="n">
        <v>15.73</v>
      </c>
      <c r="I11" s="65" t="n">
        <v>27.98</v>
      </c>
      <c r="J11" s="65" t="n">
        <v>15.04</v>
      </c>
      <c r="K11" s="65" t="n">
        <v>26.14</v>
      </c>
      <c r="L11" s="65" t="n">
        <v>10.1</v>
      </c>
      <c r="M11" s="65" t="n">
        <v>17.87</v>
      </c>
      <c r="N11" s="65" t="n">
        <v>13.75</v>
      </c>
      <c r="O11" s="65" t="n">
        <v>33.56</v>
      </c>
      <c r="P11" s="65" t="n">
        <v>12.23</v>
      </c>
    </row>
    <row r="12">
      <c r="A12" s="23" t="inlineStr">
        <is>
          <t>fin11_2a</t>
        </is>
      </c>
      <c r="B12" s="23" t="inlineStr">
        <is>
          <t>Could use an account without help if opened</t>
        </is>
      </c>
      <c r="C12" s="23" t="inlineStr">
        <is>
          <t>Access</t>
        </is>
      </c>
      <c r="D12" s="66" t="n">
        <v>21.13</v>
      </c>
      <c r="E12" s="66" t="n">
        <v>22.13</v>
      </c>
      <c r="F12" s="66" t="n">
        <v>20.08</v>
      </c>
      <c r="G12" s="66" t="n">
        <v>10.89</v>
      </c>
      <c r="H12" s="66" t="n">
        <v>23.41</v>
      </c>
      <c r="I12" s="66" t="n">
        <v>53.72</v>
      </c>
      <c r="J12" s="66" t="n">
        <v>17.01</v>
      </c>
      <c r="K12" s="66" t="n">
        <v>37.18</v>
      </c>
      <c r="L12" s="66" t="n">
        <v>10.45</v>
      </c>
      <c r="M12" s="66" t="n">
        <v>21.82</v>
      </c>
      <c r="N12" s="66" t="n">
        <v>19.73</v>
      </c>
      <c r="O12" s="66" t="n">
        <v>37.18</v>
      </c>
      <c r="P12" s="66" t="n">
        <v>17.11</v>
      </c>
    </row>
    <row r="13">
      <c r="A13" s="22" t="inlineStr">
        <is>
          <t>g20.any</t>
        </is>
      </c>
      <c r="B13" s="22" t="inlineStr">
        <is>
          <t>Made or received a digital payment</t>
        </is>
      </c>
      <c r="C13" s="22" t="inlineStr">
        <is>
          <t>Digital payments</t>
        </is>
      </c>
      <c r="D13" s="65" t="n">
        <v>62.38</v>
      </c>
      <c r="E13" s="65" t="n">
        <v>61.4</v>
      </c>
      <c r="F13" s="65" t="n">
        <v>63.4</v>
      </c>
      <c r="G13" s="65" t="n">
        <v>66.59</v>
      </c>
      <c r="H13" s="65" t="n">
        <v>61.44</v>
      </c>
      <c r="I13" s="65" t="n">
        <v>26.47</v>
      </c>
      <c r="J13" s="65" t="n">
        <v>66.89</v>
      </c>
      <c r="K13" s="65" t="n">
        <v>38.59</v>
      </c>
      <c r="L13" s="65" t="n">
        <v>78.20999999999999</v>
      </c>
      <c r="M13" s="65" t="n">
        <v>59.52</v>
      </c>
      <c r="N13" s="65" t="n">
        <v>68.19</v>
      </c>
      <c r="O13" s="65" t="n">
        <v>30.94</v>
      </c>
      <c r="P13" s="65" t="n">
        <v>70.27</v>
      </c>
    </row>
    <row r="14">
      <c r="A14" s="23" t="inlineStr">
        <is>
          <t>g20.made</t>
        </is>
      </c>
      <c r="B14" s="23" t="inlineStr">
        <is>
          <t>Made a digital payment</t>
        </is>
      </c>
      <c r="C14" s="23" t="inlineStr">
        <is>
          <t>Digital payments</t>
        </is>
      </c>
      <c r="D14" s="66" t="n">
        <v>56.47</v>
      </c>
      <c r="E14" s="66" t="n">
        <v>56.53</v>
      </c>
      <c r="F14" s="66" t="n">
        <v>56.41</v>
      </c>
      <c r="G14" s="66" t="n">
        <v>63.18</v>
      </c>
      <c r="H14" s="66" t="n">
        <v>54.98</v>
      </c>
      <c r="I14" s="66" t="n">
        <v>16.58</v>
      </c>
      <c r="J14" s="66" t="n">
        <v>61.47</v>
      </c>
      <c r="K14" s="66" t="n">
        <v>31.13</v>
      </c>
      <c r="L14" s="66" t="n">
        <v>73.34</v>
      </c>
      <c r="M14" s="66" t="n">
        <v>54.16</v>
      </c>
      <c r="N14" s="66" t="n">
        <v>61.16</v>
      </c>
      <c r="O14" s="66" t="n">
        <v>25.05</v>
      </c>
      <c r="P14" s="66" t="n">
        <v>64.36</v>
      </c>
    </row>
    <row r="15">
      <c r="A15" s="22" t="inlineStr">
        <is>
          <t>g20.received</t>
        </is>
      </c>
      <c r="B15" s="22" t="inlineStr">
        <is>
          <t>Received digital payments</t>
        </is>
      </c>
      <c r="C15" s="22" t="inlineStr">
        <is>
          <t>Digital payments</t>
        </is>
      </c>
      <c r="D15" s="65" t="n">
        <v>48.05</v>
      </c>
      <c r="E15" s="65" t="n">
        <v>46.29</v>
      </c>
      <c r="F15" s="65" t="n">
        <v>49.89</v>
      </c>
      <c r="G15" s="65" t="n">
        <v>47.11</v>
      </c>
      <c r="H15" s="65" t="n">
        <v>48.26</v>
      </c>
      <c r="I15" s="65" t="n">
        <v>17.26</v>
      </c>
      <c r="J15" s="65" t="n">
        <v>51.89</v>
      </c>
      <c r="K15" s="65" t="n">
        <v>27.14</v>
      </c>
      <c r="L15" s="65" t="n">
        <v>61.97</v>
      </c>
      <c r="M15" s="65" t="n">
        <v>44.69</v>
      </c>
      <c r="N15" s="65" t="n">
        <v>54.88</v>
      </c>
      <c r="O15" s="65" t="n">
        <v>17.24</v>
      </c>
      <c r="P15" s="65" t="n">
        <v>55.78</v>
      </c>
    </row>
    <row r="16">
      <c r="A16" s="23" t="inlineStr">
        <is>
          <t>fin3</t>
        </is>
      </c>
      <c r="B16" s="23" t="inlineStr">
        <is>
          <t>Used a card or mobile phone to make payments</t>
        </is>
      </c>
      <c r="C16" s="23" t="inlineStr">
        <is>
          <t>Digital payments</t>
        </is>
      </c>
      <c r="D16" s="66" t="n">
        <v>60.68</v>
      </c>
      <c r="E16" s="66" t="n">
        <v>60.44</v>
      </c>
      <c r="F16" s="66" t="n">
        <v>60.93</v>
      </c>
      <c r="G16" s="66" t="n">
        <v>66.97</v>
      </c>
      <c r="H16" s="66" t="n">
        <v>59.28</v>
      </c>
      <c r="I16" s="66" t="n">
        <v>17.84</v>
      </c>
      <c r="J16" s="66" t="n">
        <v>66.17</v>
      </c>
      <c r="K16" s="66" t="n">
        <v>36.07</v>
      </c>
      <c r="L16" s="66" t="n">
        <v>77.05</v>
      </c>
      <c r="M16" s="66" t="n">
        <v>57.07</v>
      </c>
      <c r="N16" s="66" t="n">
        <v>67.98999999999999</v>
      </c>
      <c r="O16" s="66" t="n">
        <v>28.79</v>
      </c>
      <c r="P16" s="66" t="n">
        <v>68.68000000000001</v>
      </c>
    </row>
    <row r="17">
      <c r="A17" s="22" t="inlineStr">
        <is>
          <t>merchant.pay</t>
        </is>
      </c>
      <c r="B17" s="22" t="inlineStr">
        <is>
          <t>Made a digital merchant payment</t>
        </is>
      </c>
      <c r="C17" s="22" t="inlineStr">
        <is>
          <t>Digital payments</t>
        </is>
      </c>
      <c r="D17" s="65" t="n">
        <v>51.13</v>
      </c>
      <c r="E17" s="65" t="n">
        <v>52.69</v>
      </c>
      <c r="F17" s="65" t="n">
        <v>49.48</v>
      </c>
      <c r="G17" s="65" t="n">
        <v>60.76</v>
      </c>
      <c r="H17" s="65" t="n">
        <v>48.99</v>
      </c>
      <c r="I17" s="65" t="n">
        <v>8.02</v>
      </c>
      <c r="J17" s="65" t="n">
        <v>56.52</v>
      </c>
      <c r="K17" s="65" t="n">
        <v>26.48</v>
      </c>
      <c r="L17" s="65" t="n">
        <v>67.53</v>
      </c>
      <c r="M17" s="65" t="n">
        <v>47.69</v>
      </c>
      <c r="N17" s="65" t="n">
        <v>58.1</v>
      </c>
      <c r="O17" s="65" t="n">
        <v>22.13</v>
      </c>
      <c r="P17" s="65" t="n">
        <v>58.4</v>
      </c>
    </row>
    <row r="18">
      <c r="A18" s="23" t="inlineStr">
        <is>
          <t>fin25e2</t>
        </is>
      </c>
      <c r="B18" s="23" t="inlineStr">
        <is>
          <t>Used mobile or card to pay for an in-store purchase</t>
        </is>
      </c>
      <c r="C18" s="23" t="inlineStr">
        <is>
          <t>Digital payments</t>
        </is>
      </c>
      <c r="D18" s="66" t="n">
        <v>48.26</v>
      </c>
      <c r="E18" s="66" t="n">
        <v>49.48</v>
      </c>
      <c r="F18" s="66" t="n">
        <v>46.98</v>
      </c>
      <c r="G18" s="66" t="n">
        <v>56.97</v>
      </c>
      <c r="H18" s="66" t="n">
        <v>46.33</v>
      </c>
      <c r="I18" s="66" t="n">
        <v>7.33</v>
      </c>
      <c r="J18" s="66" t="n">
        <v>53.37</v>
      </c>
      <c r="K18" s="66" t="n">
        <v>23.63</v>
      </c>
      <c r="L18" s="66" t="n">
        <v>64.65000000000001</v>
      </c>
      <c r="M18" s="66" t="n">
        <v>44.42</v>
      </c>
      <c r="N18" s="66" t="n">
        <v>56.07</v>
      </c>
      <c r="O18" s="66" t="n">
        <v>21.42</v>
      </c>
      <c r="P18" s="66" t="n">
        <v>54.99</v>
      </c>
    </row>
    <row r="19">
      <c r="A19" s="22" t="inlineStr">
        <is>
          <t>fin25e3w</t>
        </is>
      </c>
      <c r="B19" s="22" t="inlineStr">
        <is>
          <t>In-store mobile or card payment, weekly</t>
        </is>
      </c>
      <c r="C19" s="22" t="inlineStr">
        <is>
          <t>Digital payments</t>
        </is>
      </c>
      <c r="D19" s="65" t="n">
        <v>25.66</v>
      </c>
      <c r="E19" s="65" t="n">
        <v>28.06</v>
      </c>
      <c r="F19" s="65" t="n">
        <v>23.15</v>
      </c>
      <c r="G19" s="65" t="n">
        <v>28.94</v>
      </c>
      <c r="H19" s="65" t="n">
        <v>24.94</v>
      </c>
      <c r="I19" s="65" t="n">
        <v>1.87</v>
      </c>
      <c r="J19" s="65" t="n">
        <v>28.58</v>
      </c>
      <c r="K19" s="65" t="n">
        <v>9.779999999999999</v>
      </c>
      <c r="L19" s="65" t="n">
        <v>36.23</v>
      </c>
      <c r="M19" s="65" t="n">
        <v>20.58</v>
      </c>
      <c r="N19" s="65" t="n">
        <v>35.98</v>
      </c>
      <c r="O19" s="65" t="n">
        <v>9.65</v>
      </c>
      <c r="P19" s="65" t="n">
        <v>29.68</v>
      </c>
    </row>
    <row r="20">
      <c r="A20" s="23" t="inlineStr">
        <is>
          <t>fin26a</t>
        </is>
      </c>
      <c r="B20" s="23" t="inlineStr">
        <is>
          <t>Used mobile or internet to pay bills</t>
        </is>
      </c>
      <c r="C20" s="23" t="inlineStr">
        <is>
          <t>Digital payments</t>
        </is>
      </c>
      <c r="D20" s="66" t="n">
        <v>45.5</v>
      </c>
      <c r="E20" s="66" t="n">
        <v>46.89</v>
      </c>
      <c r="F20" s="66" t="n">
        <v>44.05</v>
      </c>
      <c r="G20" s="66" t="n">
        <v>40.76</v>
      </c>
      <c r="H20" s="66" t="n">
        <v>46.56</v>
      </c>
      <c r="I20" s="66" t="n">
        <v>10.47</v>
      </c>
      <c r="J20" s="66" t="n">
        <v>49.87</v>
      </c>
      <c r="K20" s="66" t="n">
        <v>23.52</v>
      </c>
      <c r="L20" s="66" t="n">
        <v>60.13</v>
      </c>
      <c r="M20" s="66" t="n">
        <v>42.33</v>
      </c>
      <c r="N20" s="66" t="n">
        <v>51.95</v>
      </c>
      <c r="O20" s="66" t="n">
        <v>16.14</v>
      </c>
      <c r="P20" s="66" t="n">
        <v>52.87</v>
      </c>
    </row>
    <row r="21">
      <c r="A21" s="22" t="inlineStr">
        <is>
          <t>fin26b</t>
        </is>
      </c>
      <c r="B21" s="22" t="inlineStr">
        <is>
          <t>Used mobile or internet to buy something online</t>
        </is>
      </c>
      <c r="C21" s="22" t="inlineStr">
        <is>
          <t>Digital payments</t>
        </is>
      </c>
      <c r="D21" s="65" t="n">
        <v>46.24</v>
      </c>
      <c r="E21" s="65" t="n">
        <v>51.09</v>
      </c>
      <c r="F21" s="65" t="n">
        <v>41.15</v>
      </c>
      <c r="G21" s="65" t="n">
        <v>61.89</v>
      </c>
      <c r="H21" s="65" t="n">
        <v>42.76</v>
      </c>
      <c r="I21" s="65" t="n">
        <v>8.68</v>
      </c>
      <c r="J21" s="65" t="n">
        <v>50.93</v>
      </c>
      <c r="K21" s="65" t="n">
        <v>24.71</v>
      </c>
      <c r="L21" s="65" t="n">
        <v>60.57</v>
      </c>
      <c r="M21" s="65" t="n">
        <v>42.18</v>
      </c>
      <c r="N21" s="65" t="n">
        <v>54.48</v>
      </c>
      <c r="O21" s="65" t="n">
        <v>23.75</v>
      </c>
      <c r="P21" s="65" t="n">
        <v>51.88</v>
      </c>
    </row>
    <row r="22">
      <c r="A22" s="23" t="inlineStr">
        <is>
          <t>fin27a</t>
        </is>
      </c>
      <c r="B22" s="23" t="inlineStr">
        <is>
          <t>Digital payment for an online purchase</t>
        </is>
      </c>
      <c r="C22" s="23" t="inlineStr">
        <is>
          <t>Digital payments</t>
        </is>
      </c>
      <c r="D22" s="66" t="n">
        <v>34.19</v>
      </c>
      <c r="E22" s="66" t="n">
        <v>39.32</v>
      </c>
      <c r="F22" s="66" t="n">
        <v>28.82</v>
      </c>
      <c r="G22" s="66" t="n">
        <v>43.15</v>
      </c>
      <c r="H22" s="66" t="n">
        <v>32.2</v>
      </c>
      <c r="I22" s="66" t="n">
        <v>2.64</v>
      </c>
      <c r="J22" s="66" t="n">
        <v>38.1</v>
      </c>
      <c r="K22" s="66" t="n">
        <v>14.32</v>
      </c>
      <c r="L22" s="66" t="n">
        <v>47.42</v>
      </c>
      <c r="M22" s="66" t="n">
        <v>30.76</v>
      </c>
      <c r="N22" s="66" t="n">
        <v>41.15</v>
      </c>
      <c r="O22" s="66" t="n">
        <v>15.83</v>
      </c>
      <c r="P22" s="66" t="n">
        <v>38.8</v>
      </c>
    </row>
    <row r="23">
      <c r="A23" s="22" t="inlineStr">
        <is>
          <t>fin27b</t>
        </is>
      </c>
      <c r="B23" s="22" t="inlineStr">
        <is>
          <t>Cash on delivery for an online purchase</t>
        </is>
      </c>
      <c r="C23" s="22" t="inlineStr">
        <is>
          <t>Digital payments</t>
        </is>
      </c>
      <c r="D23" s="65" t="n">
        <v>12.05</v>
      </c>
      <c r="E23" s="65" t="n">
        <v>11.77</v>
      </c>
      <c r="F23" s="65" t="n">
        <v>12.34</v>
      </c>
      <c r="G23" s="65" t="n">
        <v>18.74</v>
      </c>
      <c r="H23" s="65" t="n">
        <v>10.56</v>
      </c>
      <c r="I23" s="65" t="n">
        <v>6.04</v>
      </c>
      <c r="J23" s="65" t="n">
        <v>12.82</v>
      </c>
      <c r="K23" s="65" t="n">
        <v>10.39</v>
      </c>
      <c r="L23" s="65" t="n">
        <v>13.15</v>
      </c>
      <c r="M23" s="65" t="n">
        <v>11.42</v>
      </c>
      <c r="N23" s="65" t="n">
        <v>13.33</v>
      </c>
      <c r="O23" s="65" t="n">
        <v>7.93</v>
      </c>
      <c r="P23" s="65" t="n">
        <v>13.08</v>
      </c>
    </row>
    <row r="24">
      <c r="A24" s="23" t="inlineStr">
        <is>
          <t>fin30</t>
        </is>
      </c>
      <c r="B24" s="23" t="inlineStr">
        <is>
          <t>Made a utility payment</t>
        </is>
      </c>
      <c r="C24" s="23" t="inlineStr">
        <is>
          <t>Digital payments</t>
        </is>
      </c>
      <c r="D24" s="66" t="n">
        <v>58.06</v>
      </c>
      <c r="E24" s="66" t="n">
        <v>69.01000000000001</v>
      </c>
      <c r="F24" s="66" t="n">
        <v>46.58</v>
      </c>
      <c r="G24" s="66" t="n">
        <v>22.09</v>
      </c>
      <c r="H24" s="66" t="n">
        <v>66.05</v>
      </c>
      <c r="I24" s="66" t="n">
        <v>51.53</v>
      </c>
      <c r="J24" s="66" t="n">
        <v>58.81</v>
      </c>
      <c r="K24" s="66" t="n">
        <v>53.21</v>
      </c>
      <c r="L24" s="66" t="n">
        <v>61.29</v>
      </c>
      <c r="M24" s="66" t="n">
        <v>57.42</v>
      </c>
      <c r="N24" s="66" t="n">
        <v>59.35</v>
      </c>
      <c r="O24" s="66" t="n">
        <v>34.62</v>
      </c>
      <c r="P24" s="66" t="n">
        <v>63.94</v>
      </c>
    </row>
    <row r="25">
      <c r="A25" s="22" t="inlineStr">
        <is>
          <t>fin31a.31b</t>
        </is>
      </c>
      <c r="B25" s="22" t="inlineStr">
        <is>
          <t>Utility payment using an account</t>
        </is>
      </c>
      <c r="C25" s="22" t="inlineStr">
        <is>
          <t>Digital payments</t>
        </is>
      </c>
      <c r="D25" s="65" t="n">
        <v>32.7</v>
      </c>
      <c r="E25" s="65" t="n">
        <v>39.23</v>
      </c>
      <c r="F25" s="65" t="n">
        <v>25.86</v>
      </c>
      <c r="G25" s="65" t="n">
        <v>15.87</v>
      </c>
      <c r="H25" s="65" t="n">
        <v>36.44</v>
      </c>
      <c r="I25" s="65" t="n">
        <v>7.37</v>
      </c>
      <c r="J25" s="65" t="n">
        <v>35.83</v>
      </c>
      <c r="K25" s="65" t="n">
        <v>16.04</v>
      </c>
      <c r="L25" s="65" t="n">
        <v>43.79</v>
      </c>
      <c r="M25" s="65" t="n">
        <v>30.13</v>
      </c>
      <c r="N25" s="65" t="n">
        <v>37.93</v>
      </c>
      <c r="O25" s="65" t="n">
        <v>10.43</v>
      </c>
      <c r="P25" s="65" t="n">
        <v>38.29</v>
      </c>
    </row>
    <row r="26">
      <c r="A26" s="23" t="inlineStr">
        <is>
          <t>fin31d</t>
        </is>
      </c>
      <c r="B26" s="23" t="inlineStr">
        <is>
          <t>Utility payment in cash only</t>
        </is>
      </c>
      <c r="C26" s="23" t="inlineStr">
        <is>
          <t>Digital payments</t>
        </is>
      </c>
      <c r="D26" s="66" t="n">
        <v>25.06</v>
      </c>
      <c r="E26" s="66" t="n">
        <v>29.54</v>
      </c>
      <c r="F26" s="66" t="n">
        <v>20.37</v>
      </c>
      <c r="G26" s="66" t="n">
        <v>6.08</v>
      </c>
      <c r="H26" s="66" t="n">
        <v>29.28</v>
      </c>
      <c r="I26" s="66" t="n">
        <v>42.51</v>
      </c>
      <c r="J26" s="66" t="n">
        <v>22.91</v>
      </c>
      <c r="K26" s="66" t="n">
        <v>37.1</v>
      </c>
      <c r="L26" s="66" t="n">
        <v>17.05</v>
      </c>
      <c r="M26" s="66" t="n">
        <v>27.18</v>
      </c>
      <c r="N26" s="66" t="n">
        <v>20.77</v>
      </c>
      <c r="O26" s="66" t="n">
        <v>23.91</v>
      </c>
      <c r="P26" s="66" t="n">
        <v>25.35</v>
      </c>
    </row>
    <row r="27">
      <c r="A27" s="22" t="inlineStr">
        <is>
          <t>fin9b</t>
        </is>
      </c>
      <c r="B27" s="22" t="inlineStr">
        <is>
          <t>Used mobile or internet to check account balance</t>
        </is>
      </c>
      <c r="C27" s="22" t="inlineStr">
        <is>
          <t>Digital payments</t>
        </is>
      </c>
      <c r="D27" s="65" t="n">
        <v>61.57</v>
      </c>
      <c r="E27" s="65" t="n">
        <v>60.44</v>
      </c>
      <c r="F27" s="65" t="n">
        <v>62.76</v>
      </c>
      <c r="G27" s="65" t="n">
        <v>66.55</v>
      </c>
      <c r="H27" s="65" t="n">
        <v>60.47</v>
      </c>
      <c r="I27" s="65" t="n">
        <v>18.54</v>
      </c>
      <c r="J27" s="65" t="n">
        <v>66.98</v>
      </c>
      <c r="K27" s="65" t="n">
        <v>36.08</v>
      </c>
      <c r="L27" s="65" t="n">
        <v>78.54000000000001</v>
      </c>
      <c r="M27" s="65" t="n">
        <v>57.83</v>
      </c>
      <c r="N27" s="65" t="n">
        <v>69.19</v>
      </c>
      <c r="O27" s="65" t="n">
        <v>27.49</v>
      </c>
      <c r="P27" s="65" t="n">
        <v>70.13</v>
      </c>
    </row>
    <row r="28">
      <c r="A28" s="23" t="inlineStr">
        <is>
          <t>save.any.t.d</t>
        </is>
      </c>
      <c r="B28" s="23" t="inlineStr">
        <is>
          <t>Saved any money</t>
        </is>
      </c>
      <c r="C28" s="23" t="inlineStr">
        <is>
          <t>Saving</t>
        </is>
      </c>
      <c r="D28" s="66" t="n">
        <v>68.56999999999999</v>
      </c>
      <c r="E28" s="66" t="n">
        <v>70.7</v>
      </c>
      <c r="F28" s="66" t="n">
        <v>66.34</v>
      </c>
      <c r="G28" s="66" t="n">
        <v>56.1</v>
      </c>
      <c r="H28" s="66" t="n">
        <v>71.34</v>
      </c>
      <c r="I28" s="66" t="n">
        <v>46.93</v>
      </c>
      <c r="J28" s="66" t="n">
        <v>71.3</v>
      </c>
      <c r="K28" s="66" t="n">
        <v>57.46</v>
      </c>
      <c r="L28" s="66" t="n">
        <v>75.95999999999999</v>
      </c>
      <c r="M28" s="66" t="n">
        <v>67.48999999999999</v>
      </c>
      <c r="N28" s="66" t="n">
        <v>70.76000000000001</v>
      </c>
      <c r="O28" s="66" t="n">
        <v>47.94</v>
      </c>
      <c r="P28" s="66" t="n">
        <v>73.75</v>
      </c>
    </row>
    <row r="29">
      <c r="A29" s="22" t="inlineStr">
        <is>
          <t>fin17a</t>
        </is>
      </c>
      <c r="B29" s="22" t="inlineStr">
        <is>
          <t>Saved at a bank or similar institution</t>
        </is>
      </c>
      <c r="C29" s="22" t="inlineStr">
        <is>
          <t>Saving</t>
        </is>
      </c>
      <c r="D29" s="65" t="n">
        <v>43.09</v>
      </c>
      <c r="E29" s="65" t="n">
        <v>45.07</v>
      </c>
      <c r="F29" s="65" t="n">
        <v>41.01</v>
      </c>
      <c r="G29" s="65" t="n">
        <v>38.58</v>
      </c>
      <c r="H29" s="65" t="n">
        <v>44.09</v>
      </c>
      <c r="I29" s="65" t="n">
        <v>13.97</v>
      </c>
      <c r="J29" s="65" t="n">
        <v>46.71</v>
      </c>
      <c r="K29" s="65" t="n">
        <v>27.05</v>
      </c>
      <c r="L29" s="65" t="n">
        <v>53.76</v>
      </c>
      <c r="M29" s="65" t="n">
        <v>40.47</v>
      </c>
      <c r="N29" s="65" t="n">
        <v>48.41</v>
      </c>
      <c r="O29" s="65" t="n">
        <v>21.95</v>
      </c>
      <c r="P29" s="65" t="n">
        <v>48.39</v>
      </c>
    </row>
    <row r="30">
      <c r="A30" s="23" t="inlineStr">
        <is>
          <t>fin17b</t>
        </is>
      </c>
      <c r="B30" s="23" t="inlineStr">
        <is>
          <t>Saved using a mobile money account</t>
        </is>
      </c>
      <c r="C30" s="23" t="inlineStr">
        <is>
          <t>Saving</t>
        </is>
      </c>
      <c r="D30" s="66" t="n">
        <v>10.06</v>
      </c>
      <c r="E30" s="66" t="n">
        <v>9.359999999999999</v>
      </c>
      <c r="F30" s="66" t="n">
        <v>10.8</v>
      </c>
      <c r="G30" s="66" t="n">
        <v>15.57</v>
      </c>
      <c r="H30" s="66" t="n">
        <v>8.84</v>
      </c>
      <c r="I30" s="66" t="n">
        <v>1.47</v>
      </c>
      <c r="J30" s="66" t="n">
        <v>11.16</v>
      </c>
      <c r="K30" s="66" t="n">
        <v>6.9</v>
      </c>
      <c r="L30" s="66" t="n">
        <v>12.16</v>
      </c>
      <c r="M30" s="66" t="n">
        <v>8.970000000000001</v>
      </c>
      <c r="N30" s="66" t="n">
        <v>12.27</v>
      </c>
      <c r="O30" s="66" t="n">
        <v>6.99</v>
      </c>
      <c r="P30" s="66" t="n">
        <v>10.83</v>
      </c>
    </row>
    <row r="31">
      <c r="A31" s="22" t="inlineStr">
        <is>
          <t>fin17f</t>
        </is>
      </c>
      <c r="B31" s="22" t="inlineStr">
        <is>
          <t>Saved for old age</t>
        </is>
      </c>
      <c r="C31" s="22" t="inlineStr">
        <is>
          <t>Saving</t>
        </is>
      </c>
      <c r="D31" s="65" t="n">
        <v>20.16</v>
      </c>
      <c r="E31" s="65" t="n">
        <v>23.37</v>
      </c>
      <c r="F31" s="65" t="n">
        <v>16.81</v>
      </c>
      <c r="G31" s="65" t="n">
        <v>8.24</v>
      </c>
      <c r="H31" s="65" t="n">
        <v>22.81</v>
      </c>
      <c r="I31" s="65" t="n">
        <v>7.9</v>
      </c>
      <c r="J31" s="65" t="n">
        <v>21.74</v>
      </c>
      <c r="K31" s="65" t="n">
        <v>10.62</v>
      </c>
      <c r="L31" s="65" t="n">
        <v>26.51</v>
      </c>
      <c r="M31" s="65" t="n">
        <v>18</v>
      </c>
      <c r="N31" s="65" t="n">
        <v>24.56</v>
      </c>
      <c r="O31" s="65" t="n">
        <v>7.99</v>
      </c>
      <c r="P31" s="65" t="n">
        <v>23.22</v>
      </c>
    </row>
    <row r="32">
      <c r="A32" s="23" t="inlineStr">
        <is>
          <t>fin17dm</t>
        </is>
      </c>
      <c r="B32" s="23" t="inlineStr">
        <is>
          <t>Saved into an account, monthly</t>
        </is>
      </c>
      <c r="C32" s="23" t="inlineStr">
        <is>
          <t>Saving</t>
        </is>
      </c>
      <c r="D32" s="66" t="n">
        <v>19.64</v>
      </c>
      <c r="E32" s="66" t="n">
        <v>22.45</v>
      </c>
      <c r="F32" s="66" t="n">
        <v>16.7</v>
      </c>
      <c r="G32" s="66" t="n">
        <v>19.81</v>
      </c>
      <c r="H32" s="66" t="n">
        <v>19.6</v>
      </c>
      <c r="I32" s="66" t="n">
        <v>4.14</v>
      </c>
      <c r="J32" s="66" t="n">
        <v>21.51</v>
      </c>
      <c r="K32" s="66" t="n">
        <v>9.56</v>
      </c>
      <c r="L32" s="66" t="n">
        <v>26.36</v>
      </c>
      <c r="M32" s="66" t="n">
        <v>16.81</v>
      </c>
      <c r="N32" s="66" t="n">
        <v>25.4</v>
      </c>
      <c r="O32" s="66" t="n">
        <v>6.24</v>
      </c>
      <c r="P32" s="66" t="n">
        <v>23</v>
      </c>
    </row>
    <row r="33">
      <c r="A33" s="22" t="inlineStr">
        <is>
          <t>fin8</t>
        </is>
      </c>
      <c r="B33" s="22" t="inlineStr">
        <is>
          <t>Stores money in an account</t>
        </is>
      </c>
      <c r="C33" s="22" t="inlineStr">
        <is>
          <t>Saving</t>
        </is>
      </c>
      <c r="D33" s="65" t="n">
        <v>58.38</v>
      </c>
      <c r="E33" s="65" t="n">
        <v>57.35</v>
      </c>
      <c r="F33" s="65" t="n">
        <v>59.46</v>
      </c>
      <c r="G33" s="65" t="n">
        <v>58.51</v>
      </c>
      <c r="H33" s="65" t="n">
        <v>58.35</v>
      </c>
      <c r="I33" s="65" t="n">
        <v>21.1</v>
      </c>
      <c r="J33" s="65" t="n">
        <v>63.17</v>
      </c>
      <c r="K33" s="65" t="n">
        <v>33.28</v>
      </c>
      <c r="L33" s="65" t="n">
        <v>75.09</v>
      </c>
      <c r="M33" s="65" t="n">
        <v>53.13</v>
      </c>
      <c r="N33" s="65" t="n">
        <v>69.03</v>
      </c>
      <c r="O33" s="65" t="n">
        <v>26.07</v>
      </c>
      <c r="P33" s="65" t="n">
        <v>66.48</v>
      </c>
    </row>
    <row r="34">
      <c r="A34" s="23" t="inlineStr">
        <is>
          <t>fin17e</t>
        </is>
      </c>
      <c r="B34" s="23" t="inlineStr">
        <is>
          <t>Received interest on savings in the past year</t>
        </is>
      </c>
      <c r="C34" s="23" t="inlineStr">
        <is>
          <t>Saving</t>
        </is>
      </c>
      <c r="D34" s="66" t="n">
        <v>29.98</v>
      </c>
      <c r="E34" s="66" t="n">
        <v>31.55</v>
      </c>
      <c r="F34" s="66" t="n">
        <v>28.33</v>
      </c>
      <c r="G34" s="66" t="n">
        <v>20.37</v>
      </c>
      <c r="H34" s="66" t="n">
        <v>32.12</v>
      </c>
      <c r="I34" s="66" t="n">
        <v>7.83</v>
      </c>
      <c r="J34" s="66" t="n">
        <v>32.7</v>
      </c>
      <c r="K34" s="66" t="n">
        <v>17.41</v>
      </c>
      <c r="L34" s="66" t="n">
        <v>38.35</v>
      </c>
      <c r="M34" s="66" t="n">
        <v>26.57</v>
      </c>
      <c r="N34" s="66" t="n">
        <v>36.9</v>
      </c>
      <c r="O34" s="66" t="n">
        <v>11.78</v>
      </c>
      <c r="P34" s="66" t="n">
        <v>34.55</v>
      </c>
    </row>
    <row r="35">
      <c r="A35" s="22" t="inlineStr">
        <is>
          <t>borrow.any.t.d</t>
        </is>
      </c>
      <c r="B35" s="22" t="inlineStr">
        <is>
          <t>Borrowed any money</t>
        </is>
      </c>
      <c r="C35" s="22" t="inlineStr">
        <is>
          <t>Credit</t>
        </is>
      </c>
      <c r="D35" s="65" t="n">
        <v>43.2</v>
      </c>
      <c r="E35" s="65" t="n">
        <v>43.02</v>
      </c>
      <c r="F35" s="65" t="n">
        <v>43.38</v>
      </c>
      <c r="G35" s="65" t="n">
        <v>40.42</v>
      </c>
      <c r="H35" s="65" t="n">
        <v>43.81</v>
      </c>
      <c r="I35" s="65" t="n">
        <v>38.74</v>
      </c>
      <c r="J35" s="65" t="n">
        <v>43.77</v>
      </c>
      <c r="K35" s="65" t="n">
        <v>39.57</v>
      </c>
      <c r="L35" s="65" t="n">
        <v>45.61</v>
      </c>
      <c r="M35" s="65" t="n">
        <v>43.13</v>
      </c>
      <c r="N35" s="65" t="n">
        <v>43.34</v>
      </c>
      <c r="O35" s="65" t="n">
        <v>34.3</v>
      </c>
      <c r="P35" s="65" t="n">
        <v>45.43</v>
      </c>
    </row>
    <row r="36">
      <c r="A36" s="23" t="inlineStr">
        <is>
          <t>fin22b</t>
        </is>
      </c>
      <c r="B36" s="23" t="inlineStr">
        <is>
          <t>Borrowed from family or friends</t>
        </is>
      </c>
      <c r="C36" s="23" t="inlineStr">
        <is>
          <t>Credit</t>
        </is>
      </c>
      <c r="D36" s="66" t="n">
        <v>33.59</v>
      </c>
      <c r="E36" s="66" t="n">
        <v>34.81</v>
      </c>
      <c r="F36" s="66" t="n">
        <v>32.31</v>
      </c>
      <c r="G36" s="66" t="n">
        <v>35.21</v>
      </c>
      <c r="H36" s="66" t="n">
        <v>33.23</v>
      </c>
      <c r="I36" s="66" t="n">
        <v>31.38</v>
      </c>
      <c r="J36" s="66" t="n">
        <v>33.86</v>
      </c>
      <c r="K36" s="66" t="n">
        <v>33.18</v>
      </c>
      <c r="L36" s="66" t="n">
        <v>33.86</v>
      </c>
      <c r="M36" s="66" t="n">
        <v>33.24</v>
      </c>
      <c r="N36" s="66" t="n">
        <v>34.29</v>
      </c>
      <c r="O36" s="66" t="n">
        <v>24.96</v>
      </c>
      <c r="P36" s="66" t="n">
        <v>35.75</v>
      </c>
    </row>
    <row r="37">
      <c r="A37" s="22" t="inlineStr">
        <is>
          <t>fin19</t>
        </is>
      </c>
      <c r="B37" s="22" t="inlineStr">
        <is>
          <t>Makes regular payments to an insurer</t>
        </is>
      </c>
      <c r="C37" s="22" t="inlineStr">
        <is>
          <t>Insurance</t>
        </is>
      </c>
      <c r="D37" s="65" t="n">
        <v>17.06</v>
      </c>
      <c r="E37" s="65" t="n">
        <v>20.15</v>
      </c>
      <c r="F37" s="65" t="n">
        <v>13.82</v>
      </c>
      <c r="G37" s="65" t="n">
        <v>4.84</v>
      </c>
      <c r="H37" s="65" t="n">
        <v>19.77</v>
      </c>
      <c r="I37" s="65" t="n">
        <v>18.46</v>
      </c>
      <c r="J37" s="65" t="n">
        <v>16.8</v>
      </c>
      <c r="K37" s="65" t="n">
        <v>18.64</v>
      </c>
      <c r="L37" s="65" t="n">
        <v>16.01</v>
      </c>
      <c r="M37" s="65" t="n">
        <v>18.16</v>
      </c>
      <c r="N37" s="65" t="n">
        <v>14.83</v>
      </c>
      <c r="O37" s="65" t="n">
        <v>10.97</v>
      </c>
      <c r="P37" s="65" t="n">
        <v>18.59</v>
      </c>
    </row>
    <row r="38">
      <c r="A38" s="23" t="inlineStr">
        <is>
          <t>fin32</t>
        </is>
      </c>
      <c r="B38" s="23" t="inlineStr">
        <is>
          <t>Received wages</t>
        </is>
      </c>
      <c r="C38" s="23" t="inlineStr">
        <is>
          <t>Income</t>
        </is>
      </c>
      <c r="D38" s="66" t="n">
        <v>45.62</v>
      </c>
      <c r="E38" s="66" t="n">
        <v>41.15</v>
      </c>
      <c r="F38" s="66" t="n">
        <v>50.31</v>
      </c>
      <c r="G38" s="66" t="n">
        <v>43.03</v>
      </c>
      <c r="H38" s="66" t="n">
        <v>46.2</v>
      </c>
      <c r="I38" s="66" t="n">
        <v>30.66</v>
      </c>
      <c r="J38" s="66" t="n">
        <v>47.58</v>
      </c>
      <c r="K38" s="66" t="n">
        <v>30.94</v>
      </c>
      <c r="L38" s="66" t="n">
        <v>55.39</v>
      </c>
      <c r="M38" s="66" t="n">
        <v>42.66</v>
      </c>
      <c r="N38" s="66" t="n">
        <v>51.64</v>
      </c>
      <c r="O38" s="66" t="n">
        <v>6.33</v>
      </c>
      <c r="P38" s="66" t="n">
        <v>55.48</v>
      </c>
    </row>
    <row r="39">
      <c r="A39" s="22" t="inlineStr">
        <is>
          <t>fin32.acc</t>
        </is>
      </c>
      <c r="B39" s="22" t="inlineStr">
        <is>
          <t>Received wages into an account</t>
        </is>
      </c>
      <c r="C39" s="22" t="inlineStr">
        <is>
          <t>Income</t>
        </is>
      </c>
      <c r="D39" s="65" t="n">
        <v>36.99</v>
      </c>
      <c r="E39" s="65" t="n">
        <v>34.78</v>
      </c>
      <c r="F39" s="65" t="n">
        <v>39.31</v>
      </c>
      <c r="G39" s="65" t="n">
        <v>36.93</v>
      </c>
      <c r="H39" s="65" t="n">
        <v>37.01</v>
      </c>
      <c r="I39" s="65" t="n">
        <v>10.35</v>
      </c>
      <c r="J39" s="65" t="n">
        <v>40.4</v>
      </c>
      <c r="K39" s="65" t="n">
        <v>18.14</v>
      </c>
      <c r="L39" s="65" t="n">
        <v>49.54</v>
      </c>
      <c r="M39" s="65" t="n">
        <v>33.51</v>
      </c>
      <c r="N39" s="65" t="n">
        <v>44.06</v>
      </c>
      <c r="O39" s="65" t="n">
        <v>4.39</v>
      </c>
      <c r="P39" s="65" t="n">
        <v>45.17</v>
      </c>
    </row>
    <row r="40">
      <c r="A40" s="23" t="inlineStr">
        <is>
          <t>fin34b</t>
        </is>
      </c>
      <c r="B40" s="23" t="inlineStr">
        <is>
          <t>Received wages through a mobile phone</t>
        </is>
      </c>
      <c r="C40" s="23" t="inlineStr">
        <is>
          <t>Income</t>
        </is>
      </c>
      <c r="D40" s="66" t="n">
        <v>19.66</v>
      </c>
      <c r="E40" s="66" t="n">
        <v>18.82</v>
      </c>
      <c r="F40" s="66" t="n">
        <v>20.55</v>
      </c>
      <c r="G40" s="66" t="n">
        <v>21.86</v>
      </c>
      <c r="H40" s="66" t="n">
        <v>19.18</v>
      </c>
      <c r="I40" s="66" t="n">
        <v>6.33</v>
      </c>
      <c r="J40" s="66" t="n">
        <v>21.37</v>
      </c>
      <c r="K40" s="66" t="n">
        <v>7.42</v>
      </c>
      <c r="L40" s="66" t="n">
        <v>27.81</v>
      </c>
      <c r="M40" s="66" t="n">
        <v>15.5</v>
      </c>
      <c r="N40" s="66" t="n">
        <v>28.11</v>
      </c>
      <c r="O40" s="66" t="n">
        <v>4.01</v>
      </c>
      <c r="P40" s="66" t="n">
        <v>23.59</v>
      </c>
    </row>
    <row r="41">
      <c r="A41" s="22" t="inlineStr">
        <is>
          <t>fin42</t>
        </is>
      </c>
      <c r="B41" s="22" t="inlineStr">
        <is>
          <t>Received payments for agricultural products</t>
        </is>
      </c>
      <c r="C41" s="22" t="inlineStr">
        <is>
          <t>Income</t>
        </is>
      </c>
      <c r="D41" s="65" t="n">
        <v>23.75</v>
      </c>
      <c r="E41" s="65" t="n">
        <v>22.37</v>
      </c>
      <c r="F41" s="65" t="n">
        <v>25.2</v>
      </c>
      <c r="G41" s="65" t="n">
        <v>9.5</v>
      </c>
      <c r="H41" s="65" t="n">
        <v>26.92</v>
      </c>
      <c r="I41" s="65" t="n">
        <v>26.26</v>
      </c>
      <c r="J41" s="65" t="n">
        <v>23.48</v>
      </c>
      <c r="K41" s="65" t="n">
        <v>37.24</v>
      </c>
      <c r="L41" s="65" t="n">
        <v>14.78</v>
      </c>
      <c r="M41" s="65" t="n">
        <v>30.75</v>
      </c>
      <c r="N41" s="65" t="n">
        <v>9.539999999999999</v>
      </c>
      <c r="O41" s="65" t="n">
        <v>18.04</v>
      </c>
      <c r="P41" s="65" t="n">
        <v>25.19</v>
      </c>
    </row>
    <row r="42">
      <c r="A42" s="23" t="inlineStr">
        <is>
          <t>fin43c</t>
        </is>
      </c>
      <c r="B42" s="23" t="inlineStr">
        <is>
          <t>Agricultural payments received in cash only</t>
        </is>
      </c>
      <c r="C42" s="23" t="inlineStr">
        <is>
          <t>Income</t>
        </is>
      </c>
      <c r="D42" s="66" t="n">
        <v>17.48</v>
      </c>
      <c r="E42" s="66" t="n">
        <v>16.48</v>
      </c>
      <c r="F42" s="66" t="n">
        <v>18.52</v>
      </c>
      <c r="G42" s="66" t="n">
        <v>6.2</v>
      </c>
      <c r="H42" s="66" t="n">
        <v>19.98</v>
      </c>
      <c r="I42" s="66" t="n">
        <v>23.53</v>
      </c>
      <c r="J42" s="66" t="n">
        <v>16.75</v>
      </c>
      <c r="K42" s="66" t="n">
        <v>31.52</v>
      </c>
      <c r="L42" s="66" t="n">
        <v>8.130000000000001</v>
      </c>
      <c r="M42" s="66" t="n">
        <v>22.71</v>
      </c>
      <c r="N42" s="66" t="n">
        <v>6.86</v>
      </c>
      <c r="O42" s="66" t="n">
        <v>14.92</v>
      </c>
      <c r="P42" s="66" t="n">
        <v>18.12</v>
      </c>
    </row>
    <row r="43">
      <c r="A43" s="22" t="inlineStr">
        <is>
          <t>fh1.fh2</t>
        </is>
      </c>
      <c r="B43" s="22" t="inlineStr">
        <is>
          <t>Sent or received domestic remittances</t>
        </is>
      </c>
      <c r="C43" s="22" t="inlineStr">
        <is>
          <t>Income</t>
        </is>
      </c>
      <c r="D43" s="65" t="n">
        <v>29.36</v>
      </c>
      <c r="E43" s="65" t="n">
        <v>30.88</v>
      </c>
      <c r="F43" s="65" t="n">
        <v>27.77</v>
      </c>
      <c r="G43" s="65" t="n">
        <v>27.72</v>
      </c>
      <c r="H43" s="65" t="n">
        <v>29.73</v>
      </c>
      <c r="I43" s="65" t="n">
        <v>29.58</v>
      </c>
      <c r="J43" s="65" t="n">
        <v>29.32</v>
      </c>
      <c r="K43" s="65" t="n">
        <v>27.86</v>
      </c>
      <c r="L43" s="65" t="n">
        <v>30.36</v>
      </c>
      <c r="M43" s="65" t="n">
        <v>28.13</v>
      </c>
      <c r="N43" s="65" t="n">
        <v>31.85</v>
      </c>
      <c r="O43" s="65" t="n">
        <v>31.23</v>
      </c>
      <c r="P43" s="65" t="n">
        <v>28.89</v>
      </c>
    </row>
    <row r="44">
      <c r="A44" s="23" t="inlineStr">
        <is>
          <t>fin24aVD</t>
        </is>
      </c>
      <c r="B44" s="23" t="inlineStr">
        <is>
          <t>Emergency funds possible but very difficult</t>
        </is>
      </c>
      <c r="C44" s="23" t="inlineStr">
        <is>
          <t>Resilience</t>
        </is>
      </c>
      <c r="D44" s="66" t="n">
        <v>16.63</v>
      </c>
      <c r="E44" s="66" t="n">
        <v>17.7</v>
      </c>
      <c r="F44" s="66" t="n">
        <v>15.51</v>
      </c>
      <c r="G44" s="66" t="n">
        <v>28.27</v>
      </c>
      <c r="H44" s="66" t="n">
        <v>14.04</v>
      </c>
      <c r="I44" s="66" t="n">
        <v>34.43</v>
      </c>
      <c r="J44" s="66" t="n">
        <v>14.42</v>
      </c>
      <c r="K44" s="66" t="n">
        <v>26.96</v>
      </c>
      <c r="L44" s="66" t="n">
        <v>9.76</v>
      </c>
      <c r="M44" s="66" t="n">
        <v>18.54</v>
      </c>
      <c r="N44" s="66" t="n">
        <v>12.75</v>
      </c>
      <c r="O44" s="66" t="n">
        <v>32.69</v>
      </c>
      <c r="P44" s="66" t="n">
        <v>12.6</v>
      </c>
    </row>
    <row r="45">
      <c r="A45" s="22" t="inlineStr">
        <is>
          <t>fin24bd</t>
        </is>
      </c>
      <c r="B45" s="22" t="inlineStr">
        <is>
          <t>Could cover more than two months without income</t>
        </is>
      </c>
      <c r="C45" s="22" t="inlineStr">
        <is>
          <t>Resilience</t>
        </is>
      </c>
      <c r="D45" s="65" t="n">
        <v>49.79</v>
      </c>
      <c r="E45" s="65" t="n">
        <v>51.86</v>
      </c>
      <c r="F45" s="65" t="n">
        <v>47.61</v>
      </c>
      <c r="G45" s="65" t="n">
        <v>41.14</v>
      </c>
      <c r="H45" s="65" t="n">
        <v>51.71</v>
      </c>
      <c r="I45" s="65" t="n">
        <v>38.93</v>
      </c>
      <c r="J45" s="65" t="n">
        <v>51.24</v>
      </c>
      <c r="K45" s="65" t="n">
        <v>40.85</v>
      </c>
      <c r="L45" s="65" t="n">
        <v>55.73</v>
      </c>
      <c r="M45" s="65" t="n">
        <v>47.79</v>
      </c>
      <c r="N45" s="65" t="n">
        <v>53.84</v>
      </c>
      <c r="O45" s="65" t="n">
        <v>36.66</v>
      </c>
      <c r="P45" s="65" t="n">
        <v>53.08</v>
      </c>
    </row>
    <row r="46">
      <c r="A46" s="23" t="inlineStr">
        <is>
          <t>fin45c</t>
        </is>
      </c>
      <c r="B46" s="23" t="inlineStr">
        <is>
          <t>Top financial worry: medical costs</t>
        </is>
      </c>
      <c r="C46" s="23" t="inlineStr">
        <is>
          <t>Resilience</t>
        </is>
      </c>
      <c r="D46" s="66" t="n">
        <v>48.85</v>
      </c>
      <c r="E46" s="66" t="n">
        <v>46.6</v>
      </c>
      <c r="F46" s="66" t="n">
        <v>51.2</v>
      </c>
      <c r="G46" s="66" t="n">
        <v>45.1</v>
      </c>
      <c r="H46" s="66" t="n">
        <v>49.68</v>
      </c>
      <c r="I46" s="66" t="n">
        <v>28.09</v>
      </c>
      <c r="J46" s="66" t="n">
        <v>51.48</v>
      </c>
      <c r="K46" s="66" t="n">
        <v>39.56</v>
      </c>
      <c r="L46" s="66" t="n">
        <v>55.03</v>
      </c>
      <c r="M46" s="66" t="n">
        <v>49.55</v>
      </c>
      <c r="N46" s="66" t="n">
        <v>47.43</v>
      </c>
      <c r="O46" s="66" t="n">
        <v>37.87</v>
      </c>
      <c r="P46" s="66" t="n">
        <v>51.6</v>
      </c>
    </row>
    <row r="47">
      <c r="A47" s="22" t="inlineStr">
        <is>
          <t>fin45d</t>
        </is>
      </c>
      <c r="B47" s="22" t="inlineStr">
        <is>
          <t>Top financial worry: monthly bills</t>
        </is>
      </c>
      <c r="C47" s="22" t="inlineStr">
        <is>
          <t>Resilience</t>
        </is>
      </c>
      <c r="D47" s="65" t="n">
        <v>19.83</v>
      </c>
      <c r="E47" s="65" t="n">
        <v>19.82</v>
      </c>
      <c r="F47" s="65" t="n">
        <v>19.85</v>
      </c>
      <c r="G47" s="65" t="n">
        <v>22.59</v>
      </c>
      <c r="H47" s="65" t="n">
        <v>19.22</v>
      </c>
      <c r="I47" s="65" t="n">
        <v>35.53</v>
      </c>
      <c r="J47" s="65" t="n">
        <v>17.78</v>
      </c>
      <c r="K47" s="65" t="n">
        <v>27.21</v>
      </c>
      <c r="L47" s="65" t="n">
        <v>14.92</v>
      </c>
      <c r="M47" s="65" t="n">
        <v>20.32</v>
      </c>
      <c r="N47" s="65" t="n">
        <v>18.85</v>
      </c>
      <c r="O47" s="65" t="n">
        <v>24.7</v>
      </c>
      <c r="P47" s="65" t="n">
        <v>18.61</v>
      </c>
    </row>
    <row r="48">
      <c r="A48" s="23" t="inlineStr">
        <is>
          <t>fin45a</t>
        </is>
      </c>
      <c r="B48" s="23" t="inlineStr">
        <is>
          <t>Top financial worry: money for old age</t>
        </is>
      </c>
      <c r="C48" s="23" t="inlineStr">
        <is>
          <t>Resilience</t>
        </is>
      </c>
      <c r="D48" s="66" t="n">
        <v>16.68</v>
      </c>
      <c r="E48" s="66" t="n">
        <v>19.2</v>
      </c>
      <c r="F48" s="66" t="n">
        <v>14.03</v>
      </c>
      <c r="G48" s="66" t="n">
        <v>2.35</v>
      </c>
      <c r="H48" s="66" t="n">
        <v>19.86</v>
      </c>
      <c r="I48" s="66" t="n">
        <v>24.49</v>
      </c>
      <c r="J48" s="66" t="n">
        <v>15.72</v>
      </c>
      <c r="K48" s="66" t="n">
        <v>20.17</v>
      </c>
      <c r="L48" s="66" t="n">
        <v>14.35</v>
      </c>
      <c r="M48" s="66" t="n">
        <v>15.49</v>
      </c>
      <c r="N48" s="66" t="n">
        <v>19.09</v>
      </c>
      <c r="O48" s="66" t="n">
        <v>14.57</v>
      </c>
      <c r="P48" s="66" t="n">
        <v>17.2</v>
      </c>
    </row>
    <row r="49">
      <c r="A49" s="22" t="inlineStr">
        <is>
          <t>internet</t>
        </is>
      </c>
      <c r="B49" s="22" t="inlineStr">
        <is>
          <t>Used the internet in the past three months</t>
        </is>
      </c>
      <c r="C49" s="22" t="inlineStr">
        <is>
          <t>Connectivity</t>
        </is>
      </c>
      <c r="D49" s="65" t="n">
        <v>87.88</v>
      </c>
      <c r="E49" s="65" t="n">
        <v>87.17</v>
      </c>
      <c r="F49" s="65" t="n">
        <v>88.62</v>
      </c>
      <c r="G49" s="65" t="n">
        <v>99.84999999999999</v>
      </c>
      <c r="H49" s="65" t="n">
        <v>85.20999999999999</v>
      </c>
      <c r="I49" s="65" t="n">
        <v>63.8</v>
      </c>
      <c r="J49" s="65" t="n">
        <v>90.94</v>
      </c>
      <c r="K49" s="65" t="n">
        <v>74.77</v>
      </c>
      <c r="L49" s="65" t="n">
        <v>96.59999999999999</v>
      </c>
      <c r="M49" s="65" t="n">
        <v>86.70999999999999</v>
      </c>
      <c r="N49" s="65" t="n">
        <v>90.25</v>
      </c>
      <c r="O49" s="65" t="n">
        <v>78.19</v>
      </c>
      <c r="P49" s="65" t="n">
        <v>90.3</v>
      </c>
    </row>
    <row r="50">
      <c r="A50" s="23" t="inlineStr">
        <is>
          <t>con1</t>
        </is>
      </c>
      <c r="B50" s="23" t="inlineStr">
        <is>
          <t>Owns a mobile phone</t>
        </is>
      </c>
      <c r="C50" s="23" t="inlineStr">
        <is>
          <t>Connectivity</t>
        </is>
      </c>
      <c r="D50" s="66" t="n">
        <v>97.78</v>
      </c>
      <c r="E50" s="66" t="n">
        <v>98.34999999999999</v>
      </c>
      <c r="F50" s="66" t="n">
        <v>97.18000000000001</v>
      </c>
      <c r="G50" s="66" t="n">
        <v>97.14</v>
      </c>
      <c r="H50" s="66" t="n">
        <v>97.92</v>
      </c>
      <c r="I50" s="66" t="n">
        <v>89.83</v>
      </c>
      <c r="J50" s="66" t="n">
        <v>98.77</v>
      </c>
      <c r="K50" s="66" t="n">
        <v>95.40000000000001</v>
      </c>
      <c r="L50" s="66" t="n">
        <v>99.36</v>
      </c>
      <c r="M50" s="66" t="n">
        <v>97.29000000000001</v>
      </c>
      <c r="N50" s="66" t="n">
        <v>98.77</v>
      </c>
      <c r="O50" s="66" t="n">
        <v>93.65000000000001</v>
      </c>
      <c r="P50" s="66" t="n">
        <v>98.81</v>
      </c>
    </row>
    <row r="51">
      <c r="A51" s="22" t="inlineStr">
        <is>
          <t>con9a</t>
        </is>
      </c>
      <c r="B51" s="22" t="inlineStr">
        <is>
          <t>Main phone is a smartphone</t>
        </is>
      </c>
      <c r="C51" s="22" t="inlineStr">
        <is>
          <t>Connectivity</t>
        </is>
      </c>
      <c r="D51" s="65" t="n">
        <v>85.44</v>
      </c>
      <c r="E51" s="65" t="n">
        <v>85.06</v>
      </c>
      <c r="F51" s="65" t="n">
        <v>85.83</v>
      </c>
      <c r="G51" s="65" t="n">
        <v>96.98999999999999</v>
      </c>
      <c r="H51" s="65" t="n">
        <v>82.87</v>
      </c>
      <c r="I51" s="65" t="n">
        <v>55.74</v>
      </c>
      <c r="J51" s="65" t="n">
        <v>89.20999999999999</v>
      </c>
      <c r="K51" s="65" t="n">
        <v>71.98</v>
      </c>
      <c r="L51" s="65" t="n">
        <v>94.40000000000001</v>
      </c>
      <c r="M51" s="65" t="n">
        <v>83.67</v>
      </c>
      <c r="N51" s="65" t="n">
        <v>89.02</v>
      </c>
      <c r="O51" s="65" t="n">
        <v>73.22</v>
      </c>
      <c r="P51" s="65" t="n">
        <v>88.5</v>
      </c>
    </row>
    <row r="52">
      <c r="A52" s="23" t="inlineStr">
        <is>
          <t>con26d</t>
        </is>
      </c>
      <c r="B52" s="23" t="inlineStr">
        <is>
          <t>Uses the internet daily</t>
        </is>
      </c>
      <c r="C52" s="23" t="inlineStr">
        <is>
          <t>Connectivity</t>
        </is>
      </c>
      <c r="D52" s="66" t="n">
        <v>83.93000000000001</v>
      </c>
      <c r="E52" s="66" t="n">
        <v>83.31999999999999</v>
      </c>
      <c r="F52" s="66" t="n">
        <v>84.56999999999999</v>
      </c>
      <c r="G52" s="66" t="n">
        <v>96.73999999999999</v>
      </c>
      <c r="H52" s="66" t="n">
        <v>81.09</v>
      </c>
      <c r="I52" s="66" t="n">
        <v>52.81</v>
      </c>
      <c r="J52" s="66" t="n">
        <v>87.88</v>
      </c>
      <c r="K52" s="66" t="n">
        <v>69.45999999999999</v>
      </c>
      <c r="L52" s="66" t="n">
        <v>93.56</v>
      </c>
      <c r="M52" s="66" t="n">
        <v>82.03</v>
      </c>
      <c r="N52" s="66" t="n">
        <v>87.79000000000001</v>
      </c>
      <c r="O52" s="66" t="n">
        <v>73.61</v>
      </c>
      <c r="P52" s="66" t="n">
        <v>86.52</v>
      </c>
    </row>
    <row r="53">
      <c r="A53" s="22" t="inlineStr">
        <is>
          <t>con18</t>
        </is>
      </c>
      <c r="B53" s="22" t="inlineStr">
        <is>
          <t>Phone is locked with a PIN, password or fingerprint</t>
        </is>
      </c>
      <c r="C53" s="22" t="inlineStr">
        <is>
          <t>Connectivity</t>
        </is>
      </c>
      <c r="D53" s="65" t="n">
        <v>66.43000000000001</v>
      </c>
      <c r="E53" s="65" t="n">
        <v>65.90000000000001</v>
      </c>
      <c r="F53" s="65" t="n">
        <v>66.98</v>
      </c>
      <c r="G53" s="65" t="n">
        <v>84.62</v>
      </c>
      <c r="H53" s="65" t="n">
        <v>62.39</v>
      </c>
      <c r="I53" s="65" t="n">
        <v>32.84</v>
      </c>
      <c r="J53" s="65" t="n">
        <v>70.65000000000001</v>
      </c>
      <c r="K53" s="65" t="n">
        <v>50.65</v>
      </c>
      <c r="L53" s="65" t="n">
        <v>76.93000000000001</v>
      </c>
      <c r="M53" s="65" t="n">
        <v>63.86</v>
      </c>
      <c r="N53" s="65" t="n">
        <v>71.65000000000001</v>
      </c>
      <c r="O53" s="65" t="n">
        <v>50.1</v>
      </c>
      <c r="P53" s="65" t="n">
        <v>70.53</v>
      </c>
    </row>
    <row r="54">
      <c r="A54" s="23" t="inlineStr">
        <is>
          <t>con30c</t>
        </is>
      </c>
      <c r="B54" s="23" t="inlineStr">
        <is>
          <t>Used social media in the past three months</t>
        </is>
      </c>
      <c r="C54" s="23" t="inlineStr">
        <is>
          <t>Connectivity</t>
        </is>
      </c>
      <c r="D54" s="66" t="n">
        <v>83.17</v>
      </c>
      <c r="E54" s="66" t="n">
        <v>82.95999999999999</v>
      </c>
      <c r="F54" s="66" t="n">
        <v>83.39</v>
      </c>
      <c r="G54" s="66" t="n">
        <v>97.73</v>
      </c>
      <c r="H54" s="66" t="n">
        <v>79.93000000000001</v>
      </c>
      <c r="I54" s="66" t="n">
        <v>49.45</v>
      </c>
      <c r="J54" s="66" t="n">
        <v>87.44</v>
      </c>
      <c r="K54" s="66" t="n">
        <v>67.2</v>
      </c>
      <c r="L54" s="66" t="n">
        <v>93.79000000000001</v>
      </c>
      <c r="M54" s="66" t="n">
        <v>81.59</v>
      </c>
      <c r="N54" s="66" t="n">
        <v>86.38</v>
      </c>
      <c r="O54" s="66" t="n">
        <v>68.84999999999999</v>
      </c>
      <c r="P54" s="66" t="n">
        <v>86.76000000000001</v>
      </c>
    </row>
    <row r="55">
      <c r="A55" s="22" t="inlineStr">
        <is>
          <t>con30f</t>
        </is>
      </c>
      <c r="B55" s="22" t="inlineStr">
        <is>
          <t>Used apps or websites to earn money</t>
        </is>
      </c>
      <c r="C55" s="22" t="inlineStr">
        <is>
          <t>Connectivity</t>
        </is>
      </c>
      <c r="D55" s="65" t="n">
        <v>11.76</v>
      </c>
      <c r="E55" s="65" t="n">
        <v>12.2</v>
      </c>
      <c r="F55" s="65" t="n">
        <v>11.3</v>
      </c>
      <c r="G55" s="65" t="n">
        <v>17.61</v>
      </c>
      <c r="H55" s="65" t="n">
        <v>10.46</v>
      </c>
      <c r="I55" s="65" t="n">
        <v>2.98</v>
      </c>
      <c r="J55" s="65" t="n">
        <v>12.88</v>
      </c>
      <c r="K55" s="65" t="n">
        <v>6.4</v>
      </c>
      <c r="L55" s="65" t="n">
        <v>15.33</v>
      </c>
      <c r="M55" s="65" t="n">
        <v>8.84</v>
      </c>
      <c r="N55" s="65" t="n">
        <v>17.69</v>
      </c>
      <c r="O55" s="65" t="n">
        <v>7.79</v>
      </c>
      <c r="P55" s="65" t="n">
        <v>12.76</v>
      </c>
    </row>
  </sheetData>
  <autoFilter ref="A4:P5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5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0" customWidth="1" min="1" max="1"/>
    <col width="16" customWidth="1" min="2" max="2"/>
    <col width="12" customWidth="1" min="3" max="3"/>
    <col width="17" customWidth="1" min="4" max="4"/>
    <col width="17" customWidth="1" min="5" max="5"/>
    <col width="13" customWidth="1" min="6" max="6"/>
    <col width="13" customWidth="1" min="7" max="7"/>
    <col width="13" customWidth="1" min="8" max="8"/>
    <col width="14" customWidth="1" min="9" max="9"/>
  </cols>
  <sheetData>
    <row r="1">
      <c r="A1" s="1" t="inlineStr">
        <is>
          <t>Where the segment gaps are widest</t>
        </is>
      </c>
    </row>
    <row r="2">
      <c r="A2" s="8" t="inlineStr">
        <is>
          <t>Every figure is a formula referencing 'Segments 2024', so edits there flow through. Gaps are in percentage points.</t>
        </is>
      </c>
    </row>
    <row r="4" ht="46" customHeight="1">
      <c r="A4" s="9" t="inlineStr">
        <is>
          <t>Indicator</t>
        </is>
      </c>
      <c r="B4" s="9" t="inlineStr">
        <is>
          <t>Theme</t>
        </is>
      </c>
      <c r="C4" s="10" t="inlineStr">
        <is>
          <t>All adults</t>
        </is>
      </c>
      <c r="D4" s="10" t="inlineStr">
        <is>
          <t>Income gap (richest 60% less poorest 40%)</t>
        </is>
      </c>
      <c r="E4" s="10" t="inlineStr">
        <is>
          <t>Education gap (secondary+ less primary or less)</t>
        </is>
      </c>
      <c r="F4" s="10" t="inlineStr">
        <is>
          <t>Urban less rural</t>
        </is>
      </c>
      <c r="G4" s="10" t="inlineStr">
        <is>
          <t>Men less women</t>
        </is>
      </c>
      <c r="H4" s="10" t="inlineStr">
        <is>
          <t>Young less older</t>
        </is>
      </c>
      <c r="I4" s="10" t="inlineStr">
        <is>
          <t>In work less out of work</t>
        </is>
      </c>
    </row>
    <row r="5">
      <c r="A5" s="22" t="inlineStr">
        <is>
          <t>Has an account (any)</t>
        </is>
      </c>
      <c r="B5" s="22" t="inlineStr">
        <is>
          <t>Access</t>
        </is>
      </c>
      <c r="C5" s="13">
        <f>'Segments 2024'!D5</f>
        <v/>
      </c>
      <c r="D5" s="13">
        <f>'Segments 2024'!L5-'Segments 2024'!K5</f>
        <v/>
      </c>
      <c r="E5" s="13">
        <f>'Segments 2024'!J5-'Segments 2024'!I5</f>
        <v/>
      </c>
      <c r="F5" s="13">
        <f>'Segments 2024'!N5-'Segments 2024'!M5</f>
        <v/>
      </c>
      <c r="G5" s="13">
        <f>'Segments 2024'!F5-'Segments 2024'!E5</f>
        <v/>
      </c>
      <c r="H5" s="13">
        <f>'Segments 2024'!G5-'Segments 2024'!H5</f>
        <v/>
      </c>
      <c r="I5" s="13">
        <f>'Segments 2024'!P5-'Segments 2024'!O5</f>
        <v/>
      </c>
    </row>
    <row r="6">
      <c r="A6" s="23" t="inlineStr">
        <is>
          <t>Bank or similar institution account</t>
        </is>
      </c>
      <c r="B6" s="23" t="inlineStr">
        <is>
          <t>Access</t>
        </is>
      </c>
      <c r="C6" s="18">
        <f>'Segments 2024'!D6</f>
        <v/>
      </c>
      <c r="D6" s="18">
        <f>'Segments 2024'!L6-'Segments 2024'!K6</f>
        <v/>
      </c>
      <c r="E6" s="18">
        <f>'Segments 2024'!J6-'Segments 2024'!I6</f>
        <v/>
      </c>
      <c r="F6" s="18">
        <f>'Segments 2024'!N6-'Segments 2024'!M6</f>
        <v/>
      </c>
      <c r="G6" s="18">
        <f>'Segments 2024'!F6-'Segments 2024'!E6</f>
        <v/>
      </c>
      <c r="H6" s="18">
        <f>'Segments 2024'!G6-'Segments 2024'!H6</f>
        <v/>
      </c>
      <c r="I6" s="18">
        <f>'Segments 2024'!P6-'Segments 2024'!O6</f>
        <v/>
      </c>
    </row>
    <row r="7">
      <c r="A7" s="22" t="inlineStr">
        <is>
          <t>Mobile money account</t>
        </is>
      </c>
      <c r="B7" s="22" t="inlineStr">
        <is>
          <t>Access</t>
        </is>
      </c>
      <c r="C7" s="13">
        <f>'Segments 2024'!D7</f>
        <v/>
      </c>
      <c r="D7" s="13">
        <f>'Segments 2024'!L7-'Segments 2024'!K7</f>
        <v/>
      </c>
      <c r="E7" s="13">
        <f>'Segments 2024'!J7-'Segments 2024'!I7</f>
        <v/>
      </c>
      <c r="F7" s="13">
        <f>'Segments 2024'!N7-'Segments 2024'!M7</f>
        <v/>
      </c>
      <c r="G7" s="13">
        <f>'Segments 2024'!F7-'Segments 2024'!E7</f>
        <v/>
      </c>
      <c r="H7" s="13">
        <f>'Segments 2024'!G7-'Segments 2024'!H7</f>
        <v/>
      </c>
      <c r="I7" s="13">
        <f>'Segments 2024'!P7-'Segments 2024'!O7</f>
        <v/>
      </c>
    </row>
    <row r="8">
      <c r="A8" s="23" t="inlineStr">
        <is>
          <t>Digitally enabled account</t>
        </is>
      </c>
      <c r="B8" s="23" t="inlineStr">
        <is>
          <t>Access</t>
        </is>
      </c>
      <c r="C8" s="18">
        <f>'Segments 2024'!D8</f>
        <v/>
      </c>
      <c r="D8" s="18">
        <f>'Segments 2024'!L8-'Segments 2024'!K8</f>
        <v/>
      </c>
      <c r="E8" s="18">
        <f>'Segments 2024'!J8-'Segments 2024'!I8</f>
        <v/>
      </c>
      <c r="F8" s="18">
        <f>'Segments 2024'!N8-'Segments 2024'!M8</f>
        <v/>
      </c>
      <c r="G8" s="18">
        <f>'Segments 2024'!F8-'Segments 2024'!E8</f>
        <v/>
      </c>
      <c r="H8" s="18">
        <f>'Segments 2024'!G8-'Segments 2024'!H8</f>
        <v/>
      </c>
      <c r="I8" s="18">
        <f>'Segments 2024'!P8-'Segments 2024'!O8</f>
        <v/>
      </c>
    </row>
    <row r="9">
      <c r="A9" s="22" t="inlineStr">
        <is>
          <t>Owns a debit card</t>
        </is>
      </c>
      <c r="B9" s="22" t="inlineStr">
        <is>
          <t>Access</t>
        </is>
      </c>
      <c r="C9" s="13">
        <f>'Segments 2024'!D9</f>
        <v/>
      </c>
      <c r="D9" s="13">
        <f>'Segments 2024'!L9-'Segments 2024'!K9</f>
        <v/>
      </c>
      <c r="E9" s="13">
        <f>'Segments 2024'!J9-'Segments 2024'!I9</f>
        <v/>
      </c>
      <c r="F9" s="13">
        <f>'Segments 2024'!N9-'Segments 2024'!M9</f>
        <v/>
      </c>
      <c r="G9" s="13">
        <f>'Segments 2024'!F9-'Segments 2024'!E9</f>
        <v/>
      </c>
      <c r="H9" s="13">
        <f>'Segments 2024'!G9-'Segments 2024'!H9</f>
        <v/>
      </c>
      <c r="I9" s="13">
        <f>'Segments 2024'!P9-'Segments 2024'!O9</f>
        <v/>
      </c>
    </row>
    <row r="10">
      <c r="A10" s="23" t="inlineStr">
        <is>
          <t>First account opened to receive wages or government money</t>
        </is>
      </c>
      <c r="B10" s="23" t="inlineStr">
        <is>
          <t>Access</t>
        </is>
      </c>
      <c r="C10" s="18">
        <f>'Segments 2024'!D10</f>
        <v/>
      </c>
      <c r="D10" s="18">
        <f>'Segments 2024'!L10-'Segments 2024'!K10</f>
        <v/>
      </c>
      <c r="E10" s="18">
        <f>'Segments 2024'!J10-'Segments 2024'!I10</f>
        <v/>
      </c>
      <c r="F10" s="18">
        <f>'Segments 2024'!N10-'Segments 2024'!M10</f>
        <v/>
      </c>
      <c r="G10" s="18">
        <f>'Segments 2024'!F10-'Segments 2024'!E10</f>
        <v/>
      </c>
      <c r="H10" s="18">
        <f>'Segments 2024'!G10-'Segments 2024'!H10</f>
        <v/>
      </c>
      <c r="I10" s="18">
        <f>'Segments 2024'!P10-'Segments 2024'!O10</f>
        <v/>
      </c>
    </row>
    <row r="11">
      <c r="A11" s="22" t="inlineStr">
        <is>
          <t>No account: family member already has one</t>
        </is>
      </c>
      <c r="B11" s="22" t="inlineStr">
        <is>
          <t>Access</t>
        </is>
      </c>
      <c r="C11" s="13">
        <f>'Segments 2024'!D11</f>
        <v/>
      </c>
      <c r="D11" s="13">
        <f>'Segments 2024'!L11-'Segments 2024'!K11</f>
        <v/>
      </c>
      <c r="E11" s="13">
        <f>'Segments 2024'!J11-'Segments 2024'!I11</f>
        <v/>
      </c>
      <c r="F11" s="13">
        <f>'Segments 2024'!N11-'Segments 2024'!M11</f>
        <v/>
      </c>
      <c r="G11" s="13">
        <f>'Segments 2024'!F11-'Segments 2024'!E11</f>
        <v/>
      </c>
      <c r="H11" s="13">
        <f>'Segments 2024'!G11-'Segments 2024'!H11</f>
        <v/>
      </c>
      <c r="I11" s="13">
        <f>'Segments 2024'!P11-'Segments 2024'!O11</f>
        <v/>
      </c>
    </row>
    <row r="12">
      <c r="A12" s="23" t="inlineStr">
        <is>
          <t>Could use an account without help if opened</t>
        </is>
      </c>
      <c r="B12" s="23" t="inlineStr">
        <is>
          <t>Access</t>
        </is>
      </c>
      <c r="C12" s="18">
        <f>'Segments 2024'!D12</f>
        <v/>
      </c>
      <c r="D12" s="18">
        <f>'Segments 2024'!L12-'Segments 2024'!K12</f>
        <v/>
      </c>
      <c r="E12" s="18">
        <f>'Segments 2024'!J12-'Segments 2024'!I12</f>
        <v/>
      </c>
      <c r="F12" s="18">
        <f>'Segments 2024'!N12-'Segments 2024'!M12</f>
        <v/>
      </c>
      <c r="G12" s="18">
        <f>'Segments 2024'!F12-'Segments 2024'!E12</f>
        <v/>
      </c>
      <c r="H12" s="18">
        <f>'Segments 2024'!G12-'Segments 2024'!H12</f>
        <v/>
      </c>
      <c r="I12" s="18">
        <f>'Segments 2024'!P12-'Segments 2024'!O12</f>
        <v/>
      </c>
    </row>
    <row r="13">
      <c r="A13" s="22" t="inlineStr">
        <is>
          <t>Made or received a digital payment</t>
        </is>
      </c>
      <c r="B13" s="22" t="inlineStr">
        <is>
          <t>Digital payments</t>
        </is>
      </c>
      <c r="C13" s="13">
        <f>'Segments 2024'!D13</f>
        <v/>
      </c>
      <c r="D13" s="13">
        <f>'Segments 2024'!L13-'Segments 2024'!K13</f>
        <v/>
      </c>
      <c r="E13" s="13">
        <f>'Segments 2024'!J13-'Segments 2024'!I13</f>
        <v/>
      </c>
      <c r="F13" s="13">
        <f>'Segments 2024'!N13-'Segments 2024'!M13</f>
        <v/>
      </c>
      <c r="G13" s="13">
        <f>'Segments 2024'!F13-'Segments 2024'!E13</f>
        <v/>
      </c>
      <c r="H13" s="13">
        <f>'Segments 2024'!G13-'Segments 2024'!H13</f>
        <v/>
      </c>
      <c r="I13" s="13">
        <f>'Segments 2024'!P13-'Segments 2024'!O13</f>
        <v/>
      </c>
    </row>
    <row r="14">
      <c r="A14" s="23" t="inlineStr">
        <is>
          <t>Made a digital payment</t>
        </is>
      </c>
      <c r="B14" s="23" t="inlineStr">
        <is>
          <t>Digital payments</t>
        </is>
      </c>
      <c r="C14" s="18">
        <f>'Segments 2024'!D14</f>
        <v/>
      </c>
      <c r="D14" s="18">
        <f>'Segments 2024'!L14-'Segments 2024'!K14</f>
        <v/>
      </c>
      <c r="E14" s="18">
        <f>'Segments 2024'!J14-'Segments 2024'!I14</f>
        <v/>
      </c>
      <c r="F14" s="18">
        <f>'Segments 2024'!N14-'Segments 2024'!M14</f>
        <v/>
      </c>
      <c r="G14" s="18">
        <f>'Segments 2024'!F14-'Segments 2024'!E14</f>
        <v/>
      </c>
      <c r="H14" s="18">
        <f>'Segments 2024'!G14-'Segments 2024'!H14</f>
        <v/>
      </c>
      <c r="I14" s="18">
        <f>'Segments 2024'!P14-'Segments 2024'!O14</f>
        <v/>
      </c>
    </row>
    <row r="15">
      <c r="A15" s="22" t="inlineStr">
        <is>
          <t>Received digital payments</t>
        </is>
      </c>
      <c r="B15" s="22" t="inlineStr">
        <is>
          <t>Digital payments</t>
        </is>
      </c>
      <c r="C15" s="13">
        <f>'Segments 2024'!D15</f>
        <v/>
      </c>
      <c r="D15" s="13">
        <f>'Segments 2024'!L15-'Segments 2024'!K15</f>
        <v/>
      </c>
      <c r="E15" s="13">
        <f>'Segments 2024'!J15-'Segments 2024'!I15</f>
        <v/>
      </c>
      <c r="F15" s="13">
        <f>'Segments 2024'!N15-'Segments 2024'!M15</f>
        <v/>
      </c>
      <c r="G15" s="13">
        <f>'Segments 2024'!F15-'Segments 2024'!E15</f>
        <v/>
      </c>
      <c r="H15" s="13">
        <f>'Segments 2024'!G15-'Segments 2024'!H15</f>
        <v/>
      </c>
      <c r="I15" s="13">
        <f>'Segments 2024'!P15-'Segments 2024'!O15</f>
        <v/>
      </c>
    </row>
    <row r="16">
      <c r="A16" s="23" t="inlineStr">
        <is>
          <t>Used a card or mobile phone to make payments</t>
        </is>
      </c>
      <c r="B16" s="23" t="inlineStr">
        <is>
          <t>Digital payments</t>
        </is>
      </c>
      <c r="C16" s="18">
        <f>'Segments 2024'!D16</f>
        <v/>
      </c>
      <c r="D16" s="18">
        <f>'Segments 2024'!L16-'Segments 2024'!K16</f>
        <v/>
      </c>
      <c r="E16" s="18">
        <f>'Segments 2024'!J16-'Segments 2024'!I16</f>
        <v/>
      </c>
      <c r="F16" s="18">
        <f>'Segments 2024'!N16-'Segments 2024'!M16</f>
        <v/>
      </c>
      <c r="G16" s="18">
        <f>'Segments 2024'!F16-'Segments 2024'!E16</f>
        <v/>
      </c>
      <c r="H16" s="18">
        <f>'Segments 2024'!G16-'Segments 2024'!H16</f>
        <v/>
      </c>
      <c r="I16" s="18">
        <f>'Segments 2024'!P16-'Segments 2024'!O16</f>
        <v/>
      </c>
    </row>
    <row r="17">
      <c r="A17" s="22" t="inlineStr">
        <is>
          <t>Made a digital merchant payment</t>
        </is>
      </c>
      <c r="B17" s="22" t="inlineStr">
        <is>
          <t>Digital payments</t>
        </is>
      </c>
      <c r="C17" s="13">
        <f>'Segments 2024'!D17</f>
        <v/>
      </c>
      <c r="D17" s="13">
        <f>'Segments 2024'!L17-'Segments 2024'!K17</f>
        <v/>
      </c>
      <c r="E17" s="13">
        <f>'Segments 2024'!J17-'Segments 2024'!I17</f>
        <v/>
      </c>
      <c r="F17" s="13">
        <f>'Segments 2024'!N17-'Segments 2024'!M17</f>
        <v/>
      </c>
      <c r="G17" s="13">
        <f>'Segments 2024'!F17-'Segments 2024'!E17</f>
        <v/>
      </c>
      <c r="H17" s="13">
        <f>'Segments 2024'!G17-'Segments 2024'!H17</f>
        <v/>
      </c>
      <c r="I17" s="13">
        <f>'Segments 2024'!P17-'Segments 2024'!O17</f>
        <v/>
      </c>
    </row>
    <row r="18">
      <c r="A18" s="23" t="inlineStr">
        <is>
          <t>Used mobile or card to pay for an in-store purchase</t>
        </is>
      </c>
      <c r="B18" s="23" t="inlineStr">
        <is>
          <t>Digital payments</t>
        </is>
      </c>
      <c r="C18" s="18">
        <f>'Segments 2024'!D18</f>
        <v/>
      </c>
      <c r="D18" s="18">
        <f>'Segments 2024'!L18-'Segments 2024'!K18</f>
        <v/>
      </c>
      <c r="E18" s="18">
        <f>'Segments 2024'!J18-'Segments 2024'!I18</f>
        <v/>
      </c>
      <c r="F18" s="18">
        <f>'Segments 2024'!N18-'Segments 2024'!M18</f>
        <v/>
      </c>
      <c r="G18" s="18">
        <f>'Segments 2024'!F18-'Segments 2024'!E18</f>
        <v/>
      </c>
      <c r="H18" s="18">
        <f>'Segments 2024'!G18-'Segments 2024'!H18</f>
        <v/>
      </c>
      <c r="I18" s="18">
        <f>'Segments 2024'!P18-'Segments 2024'!O18</f>
        <v/>
      </c>
    </row>
    <row r="19">
      <c r="A19" s="22" t="inlineStr">
        <is>
          <t>In-store mobile or card payment, weekly</t>
        </is>
      </c>
      <c r="B19" s="22" t="inlineStr">
        <is>
          <t>Digital payments</t>
        </is>
      </c>
      <c r="C19" s="13">
        <f>'Segments 2024'!D19</f>
        <v/>
      </c>
      <c r="D19" s="13">
        <f>'Segments 2024'!L19-'Segments 2024'!K19</f>
        <v/>
      </c>
      <c r="E19" s="13">
        <f>'Segments 2024'!J19-'Segments 2024'!I19</f>
        <v/>
      </c>
      <c r="F19" s="13">
        <f>'Segments 2024'!N19-'Segments 2024'!M19</f>
        <v/>
      </c>
      <c r="G19" s="13">
        <f>'Segments 2024'!F19-'Segments 2024'!E19</f>
        <v/>
      </c>
      <c r="H19" s="13">
        <f>'Segments 2024'!G19-'Segments 2024'!H19</f>
        <v/>
      </c>
      <c r="I19" s="13">
        <f>'Segments 2024'!P19-'Segments 2024'!O19</f>
        <v/>
      </c>
    </row>
    <row r="20">
      <c r="A20" s="23" t="inlineStr">
        <is>
          <t>Used mobile or internet to pay bills</t>
        </is>
      </c>
      <c r="B20" s="23" t="inlineStr">
        <is>
          <t>Digital payments</t>
        </is>
      </c>
      <c r="C20" s="18">
        <f>'Segments 2024'!D20</f>
        <v/>
      </c>
      <c r="D20" s="18">
        <f>'Segments 2024'!L20-'Segments 2024'!K20</f>
        <v/>
      </c>
      <c r="E20" s="18">
        <f>'Segments 2024'!J20-'Segments 2024'!I20</f>
        <v/>
      </c>
      <c r="F20" s="18">
        <f>'Segments 2024'!N20-'Segments 2024'!M20</f>
        <v/>
      </c>
      <c r="G20" s="18">
        <f>'Segments 2024'!F20-'Segments 2024'!E20</f>
        <v/>
      </c>
      <c r="H20" s="18">
        <f>'Segments 2024'!G20-'Segments 2024'!H20</f>
        <v/>
      </c>
      <c r="I20" s="18">
        <f>'Segments 2024'!P20-'Segments 2024'!O20</f>
        <v/>
      </c>
    </row>
    <row r="21">
      <c r="A21" s="22" t="inlineStr">
        <is>
          <t>Used mobile or internet to buy something online</t>
        </is>
      </c>
      <c r="B21" s="22" t="inlineStr">
        <is>
          <t>Digital payments</t>
        </is>
      </c>
      <c r="C21" s="13">
        <f>'Segments 2024'!D21</f>
        <v/>
      </c>
      <c r="D21" s="13">
        <f>'Segments 2024'!L21-'Segments 2024'!K21</f>
        <v/>
      </c>
      <c r="E21" s="13">
        <f>'Segments 2024'!J21-'Segments 2024'!I21</f>
        <v/>
      </c>
      <c r="F21" s="13">
        <f>'Segments 2024'!N21-'Segments 2024'!M21</f>
        <v/>
      </c>
      <c r="G21" s="13">
        <f>'Segments 2024'!F21-'Segments 2024'!E21</f>
        <v/>
      </c>
      <c r="H21" s="13">
        <f>'Segments 2024'!G21-'Segments 2024'!H21</f>
        <v/>
      </c>
      <c r="I21" s="13">
        <f>'Segments 2024'!P21-'Segments 2024'!O21</f>
        <v/>
      </c>
    </row>
    <row r="22">
      <c r="A22" s="23" t="inlineStr">
        <is>
          <t>Digital payment for an online purchase</t>
        </is>
      </c>
      <c r="B22" s="23" t="inlineStr">
        <is>
          <t>Digital payments</t>
        </is>
      </c>
      <c r="C22" s="18">
        <f>'Segments 2024'!D22</f>
        <v/>
      </c>
      <c r="D22" s="18">
        <f>'Segments 2024'!L22-'Segments 2024'!K22</f>
        <v/>
      </c>
      <c r="E22" s="18">
        <f>'Segments 2024'!J22-'Segments 2024'!I22</f>
        <v/>
      </c>
      <c r="F22" s="18">
        <f>'Segments 2024'!N22-'Segments 2024'!M22</f>
        <v/>
      </c>
      <c r="G22" s="18">
        <f>'Segments 2024'!F22-'Segments 2024'!E22</f>
        <v/>
      </c>
      <c r="H22" s="18">
        <f>'Segments 2024'!G22-'Segments 2024'!H22</f>
        <v/>
      </c>
      <c r="I22" s="18">
        <f>'Segments 2024'!P22-'Segments 2024'!O22</f>
        <v/>
      </c>
    </row>
    <row r="23">
      <c r="A23" s="22" t="inlineStr">
        <is>
          <t>Cash on delivery for an online purchase</t>
        </is>
      </c>
      <c r="B23" s="22" t="inlineStr">
        <is>
          <t>Digital payments</t>
        </is>
      </c>
      <c r="C23" s="13">
        <f>'Segments 2024'!D23</f>
        <v/>
      </c>
      <c r="D23" s="13">
        <f>'Segments 2024'!L23-'Segments 2024'!K23</f>
        <v/>
      </c>
      <c r="E23" s="13">
        <f>'Segments 2024'!J23-'Segments 2024'!I23</f>
        <v/>
      </c>
      <c r="F23" s="13">
        <f>'Segments 2024'!N23-'Segments 2024'!M23</f>
        <v/>
      </c>
      <c r="G23" s="13">
        <f>'Segments 2024'!F23-'Segments 2024'!E23</f>
        <v/>
      </c>
      <c r="H23" s="13">
        <f>'Segments 2024'!G23-'Segments 2024'!H23</f>
        <v/>
      </c>
      <c r="I23" s="13">
        <f>'Segments 2024'!P23-'Segments 2024'!O23</f>
        <v/>
      </c>
    </row>
    <row r="24">
      <c r="A24" s="23" t="inlineStr">
        <is>
          <t>Made a utility payment</t>
        </is>
      </c>
      <c r="B24" s="23" t="inlineStr">
        <is>
          <t>Digital payments</t>
        </is>
      </c>
      <c r="C24" s="18">
        <f>'Segments 2024'!D24</f>
        <v/>
      </c>
      <c r="D24" s="18">
        <f>'Segments 2024'!L24-'Segments 2024'!K24</f>
        <v/>
      </c>
      <c r="E24" s="18">
        <f>'Segments 2024'!J24-'Segments 2024'!I24</f>
        <v/>
      </c>
      <c r="F24" s="18">
        <f>'Segments 2024'!N24-'Segments 2024'!M24</f>
        <v/>
      </c>
      <c r="G24" s="18">
        <f>'Segments 2024'!F24-'Segments 2024'!E24</f>
        <v/>
      </c>
      <c r="H24" s="18">
        <f>'Segments 2024'!G24-'Segments 2024'!H24</f>
        <v/>
      </c>
      <c r="I24" s="18">
        <f>'Segments 2024'!P24-'Segments 2024'!O24</f>
        <v/>
      </c>
    </row>
    <row r="25">
      <c r="A25" s="22" t="inlineStr">
        <is>
          <t>Utility payment using an account</t>
        </is>
      </c>
      <c r="B25" s="22" t="inlineStr">
        <is>
          <t>Digital payments</t>
        </is>
      </c>
      <c r="C25" s="13">
        <f>'Segments 2024'!D25</f>
        <v/>
      </c>
      <c r="D25" s="13">
        <f>'Segments 2024'!L25-'Segments 2024'!K25</f>
        <v/>
      </c>
      <c r="E25" s="13">
        <f>'Segments 2024'!J25-'Segments 2024'!I25</f>
        <v/>
      </c>
      <c r="F25" s="13">
        <f>'Segments 2024'!N25-'Segments 2024'!M25</f>
        <v/>
      </c>
      <c r="G25" s="13">
        <f>'Segments 2024'!F25-'Segments 2024'!E25</f>
        <v/>
      </c>
      <c r="H25" s="13">
        <f>'Segments 2024'!G25-'Segments 2024'!H25</f>
        <v/>
      </c>
      <c r="I25" s="13">
        <f>'Segments 2024'!P25-'Segments 2024'!O25</f>
        <v/>
      </c>
    </row>
    <row r="26">
      <c r="A26" s="23" t="inlineStr">
        <is>
          <t>Utility payment in cash only</t>
        </is>
      </c>
      <c r="B26" s="23" t="inlineStr">
        <is>
          <t>Digital payments</t>
        </is>
      </c>
      <c r="C26" s="18">
        <f>'Segments 2024'!D26</f>
        <v/>
      </c>
      <c r="D26" s="18">
        <f>'Segments 2024'!L26-'Segments 2024'!K26</f>
        <v/>
      </c>
      <c r="E26" s="18">
        <f>'Segments 2024'!J26-'Segments 2024'!I26</f>
        <v/>
      </c>
      <c r="F26" s="18">
        <f>'Segments 2024'!N26-'Segments 2024'!M26</f>
        <v/>
      </c>
      <c r="G26" s="18">
        <f>'Segments 2024'!F26-'Segments 2024'!E26</f>
        <v/>
      </c>
      <c r="H26" s="18">
        <f>'Segments 2024'!G26-'Segments 2024'!H26</f>
        <v/>
      </c>
      <c r="I26" s="18">
        <f>'Segments 2024'!P26-'Segments 2024'!O26</f>
        <v/>
      </c>
    </row>
    <row r="27">
      <c r="A27" s="22" t="inlineStr">
        <is>
          <t>Used mobile or internet to check account balance</t>
        </is>
      </c>
      <c r="B27" s="22" t="inlineStr">
        <is>
          <t>Digital payments</t>
        </is>
      </c>
      <c r="C27" s="13">
        <f>'Segments 2024'!D27</f>
        <v/>
      </c>
      <c r="D27" s="13">
        <f>'Segments 2024'!L27-'Segments 2024'!K27</f>
        <v/>
      </c>
      <c r="E27" s="13">
        <f>'Segments 2024'!J27-'Segments 2024'!I27</f>
        <v/>
      </c>
      <c r="F27" s="13">
        <f>'Segments 2024'!N27-'Segments 2024'!M27</f>
        <v/>
      </c>
      <c r="G27" s="13">
        <f>'Segments 2024'!F27-'Segments 2024'!E27</f>
        <v/>
      </c>
      <c r="H27" s="13">
        <f>'Segments 2024'!G27-'Segments 2024'!H27</f>
        <v/>
      </c>
      <c r="I27" s="13">
        <f>'Segments 2024'!P27-'Segments 2024'!O27</f>
        <v/>
      </c>
    </row>
    <row r="28">
      <c r="A28" s="23" t="inlineStr">
        <is>
          <t>Saved any money</t>
        </is>
      </c>
      <c r="B28" s="23" t="inlineStr">
        <is>
          <t>Saving</t>
        </is>
      </c>
      <c r="C28" s="18">
        <f>'Segments 2024'!D28</f>
        <v/>
      </c>
      <c r="D28" s="18">
        <f>'Segments 2024'!L28-'Segments 2024'!K28</f>
        <v/>
      </c>
      <c r="E28" s="18">
        <f>'Segments 2024'!J28-'Segments 2024'!I28</f>
        <v/>
      </c>
      <c r="F28" s="18">
        <f>'Segments 2024'!N28-'Segments 2024'!M28</f>
        <v/>
      </c>
      <c r="G28" s="18">
        <f>'Segments 2024'!F28-'Segments 2024'!E28</f>
        <v/>
      </c>
      <c r="H28" s="18">
        <f>'Segments 2024'!G28-'Segments 2024'!H28</f>
        <v/>
      </c>
      <c r="I28" s="18">
        <f>'Segments 2024'!P28-'Segments 2024'!O28</f>
        <v/>
      </c>
    </row>
    <row r="29">
      <c r="A29" s="22" t="inlineStr">
        <is>
          <t>Saved at a bank or similar institution</t>
        </is>
      </c>
      <c r="B29" s="22" t="inlineStr">
        <is>
          <t>Saving</t>
        </is>
      </c>
      <c r="C29" s="13">
        <f>'Segments 2024'!D29</f>
        <v/>
      </c>
      <c r="D29" s="13">
        <f>'Segments 2024'!L29-'Segments 2024'!K29</f>
        <v/>
      </c>
      <c r="E29" s="13">
        <f>'Segments 2024'!J29-'Segments 2024'!I29</f>
        <v/>
      </c>
      <c r="F29" s="13">
        <f>'Segments 2024'!N29-'Segments 2024'!M29</f>
        <v/>
      </c>
      <c r="G29" s="13">
        <f>'Segments 2024'!F29-'Segments 2024'!E29</f>
        <v/>
      </c>
      <c r="H29" s="13">
        <f>'Segments 2024'!G29-'Segments 2024'!H29</f>
        <v/>
      </c>
      <c r="I29" s="13">
        <f>'Segments 2024'!P29-'Segments 2024'!O29</f>
        <v/>
      </c>
    </row>
    <row r="30">
      <c r="A30" s="23" t="inlineStr">
        <is>
          <t>Saved using a mobile money account</t>
        </is>
      </c>
      <c r="B30" s="23" t="inlineStr">
        <is>
          <t>Saving</t>
        </is>
      </c>
      <c r="C30" s="18">
        <f>'Segments 2024'!D30</f>
        <v/>
      </c>
      <c r="D30" s="18">
        <f>'Segments 2024'!L30-'Segments 2024'!K30</f>
        <v/>
      </c>
      <c r="E30" s="18">
        <f>'Segments 2024'!J30-'Segments 2024'!I30</f>
        <v/>
      </c>
      <c r="F30" s="18">
        <f>'Segments 2024'!N30-'Segments 2024'!M30</f>
        <v/>
      </c>
      <c r="G30" s="18">
        <f>'Segments 2024'!F30-'Segments 2024'!E30</f>
        <v/>
      </c>
      <c r="H30" s="18">
        <f>'Segments 2024'!G30-'Segments 2024'!H30</f>
        <v/>
      </c>
      <c r="I30" s="18">
        <f>'Segments 2024'!P30-'Segments 2024'!O30</f>
        <v/>
      </c>
    </row>
    <row r="31">
      <c r="A31" s="22" t="inlineStr">
        <is>
          <t>Saved for old age</t>
        </is>
      </c>
      <c r="B31" s="22" t="inlineStr">
        <is>
          <t>Saving</t>
        </is>
      </c>
      <c r="C31" s="13">
        <f>'Segments 2024'!D31</f>
        <v/>
      </c>
      <c r="D31" s="13">
        <f>'Segments 2024'!L31-'Segments 2024'!K31</f>
        <v/>
      </c>
      <c r="E31" s="13">
        <f>'Segments 2024'!J31-'Segments 2024'!I31</f>
        <v/>
      </c>
      <c r="F31" s="13">
        <f>'Segments 2024'!N31-'Segments 2024'!M31</f>
        <v/>
      </c>
      <c r="G31" s="13">
        <f>'Segments 2024'!F31-'Segments 2024'!E31</f>
        <v/>
      </c>
      <c r="H31" s="13">
        <f>'Segments 2024'!G31-'Segments 2024'!H31</f>
        <v/>
      </c>
      <c r="I31" s="13">
        <f>'Segments 2024'!P31-'Segments 2024'!O31</f>
        <v/>
      </c>
    </row>
    <row r="32">
      <c r="A32" s="23" t="inlineStr">
        <is>
          <t>Saved into an account, monthly</t>
        </is>
      </c>
      <c r="B32" s="23" t="inlineStr">
        <is>
          <t>Saving</t>
        </is>
      </c>
      <c r="C32" s="18">
        <f>'Segments 2024'!D32</f>
        <v/>
      </c>
      <c r="D32" s="18">
        <f>'Segments 2024'!L32-'Segments 2024'!K32</f>
        <v/>
      </c>
      <c r="E32" s="18">
        <f>'Segments 2024'!J32-'Segments 2024'!I32</f>
        <v/>
      </c>
      <c r="F32" s="18">
        <f>'Segments 2024'!N32-'Segments 2024'!M32</f>
        <v/>
      </c>
      <c r="G32" s="18">
        <f>'Segments 2024'!F32-'Segments 2024'!E32</f>
        <v/>
      </c>
      <c r="H32" s="18">
        <f>'Segments 2024'!G32-'Segments 2024'!H32</f>
        <v/>
      </c>
      <c r="I32" s="18">
        <f>'Segments 2024'!P32-'Segments 2024'!O32</f>
        <v/>
      </c>
    </row>
    <row r="33">
      <c r="A33" s="22" t="inlineStr">
        <is>
          <t>Stores money in an account</t>
        </is>
      </c>
      <c r="B33" s="22" t="inlineStr">
        <is>
          <t>Saving</t>
        </is>
      </c>
      <c r="C33" s="13">
        <f>'Segments 2024'!D33</f>
        <v/>
      </c>
      <c r="D33" s="13">
        <f>'Segments 2024'!L33-'Segments 2024'!K33</f>
        <v/>
      </c>
      <c r="E33" s="13">
        <f>'Segments 2024'!J33-'Segments 2024'!I33</f>
        <v/>
      </c>
      <c r="F33" s="13">
        <f>'Segments 2024'!N33-'Segments 2024'!M33</f>
        <v/>
      </c>
      <c r="G33" s="13">
        <f>'Segments 2024'!F33-'Segments 2024'!E33</f>
        <v/>
      </c>
      <c r="H33" s="13">
        <f>'Segments 2024'!G33-'Segments 2024'!H33</f>
        <v/>
      </c>
      <c r="I33" s="13">
        <f>'Segments 2024'!P33-'Segments 2024'!O33</f>
        <v/>
      </c>
    </row>
    <row r="34">
      <c r="A34" s="23" t="inlineStr">
        <is>
          <t>Received interest on savings in the past year</t>
        </is>
      </c>
      <c r="B34" s="23" t="inlineStr">
        <is>
          <t>Saving</t>
        </is>
      </c>
      <c r="C34" s="18">
        <f>'Segments 2024'!D34</f>
        <v/>
      </c>
      <c r="D34" s="18">
        <f>'Segments 2024'!L34-'Segments 2024'!K34</f>
        <v/>
      </c>
      <c r="E34" s="18">
        <f>'Segments 2024'!J34-'Segments 2024'!I34</f>
        <v/>
      </c>
      <c r="F34" s="18">
        <f>'Segments 2024'!N34-'Segments 2024'!M34</f>
        <v/>
      </c>
      <c r="G34" s="18">
        <f>'Segments 2024'!F34-'Segments 2024'!E34</f>
        <v/>
      </c>
      <c r="H34" s="18">
        <f>'Segments 2024'!G34-'Segments 2024'!H34</f>
        <v/>
      </c>
      <c r="I34" s="18">
        <f>'Segments 2024'!P34-'Segments 2024'!O34</f>
        <v/>
      </c>
    </row>
    <row r="35">
      <c r="A35" s="22" t="inlineStr">
        <is>
          <t>Borrowed any money</t>
        </is>
      </c>
      <c r="B35" s="22" t="inlineStr">
        <is>
          <t>Credit</t>
        </is>
      </c>
      <c r="C35" s="13">
        <f>'Segments 2024'!D35</f>
        <v/>
      </c>
      <c r="D35" s="13">
        <f>'Segments 2024'!L35-'Segments 2024'!K35</f>
        <v/>
      </c>
      <c r="E35" s="13">
        <f>'Segments 2024'!J35-'Segments 2024'!I35</f>
        <v/>
      </c>
      <c r="F35" s="13">
        <f>'Segments 2024'!N35-'Segments 2024'!M35</f>
        <v/>
      </c>
      <c r="G35" s="13">
        <f>'Segments 2024'!F35-'Segments 2024'!E35</f>
        <v/>
      </c>
      <c r="H35" s="13">
        <f>'Segments 2024'!G35-'Segments 2024'!H35</f>
        <v/>
      </c>
      <c r="I35" s="13">
        <f>'Segments 2024'!P35-'Segments 2024'!O35</f>
        <v/>
      </c>
    </row>
    <row r="36">
      <c r="A36" s="23" t="inlineStr">
        <is>
          <t>Borrowed from family or friends</t>
        </is>
      </c>
      <c r="B36" s="23" t="inlineStr">
        <is>
          <t>Credit</t>
        </is>
      </c>
      <c r="C36" s="18">
        <f>'Segments 2024'!D36</f>
        <v/>
      </c>
      <c r="D36" s="18">
        <f>'Segments 2024'!L36-'Segments 2024'!K36</f>
        <v/>
      </c>
      <c r="E36" s="18">
        <f>'Segments 2024'!J36-'Segments 2024'!I36</f>
        <v/>
      </c>
      <c r="F36" s="18">
        <f>'Segments 2024'!N36-'Segments 2024'!M36</f>
        <v/>
      </c>
      <c r="G36" s="18">
        <f>'Segments 2024'!F36-'Segments 2024'!E36</f>
        <v/>
      </c>
      <c r="H36" s="18">
        <f>'Segments 2024'!G36-'Segments 2024'!H36</f>
        <v/>
      </c>
      <c r="I36" s="18">
        <f>'Segments 2024'!P36-'Segments 2024'!O36</f>
        <v/>
      </c>
    </row>
    <row r="37">
      <c r="A37" s="22" t="inlineStr">
        <is>
          <t>Makes regular payments to an insurer</t>
        </is>
      </c>
      <c r="B37" s="22" t="inlineStr">
        <is>
          <t>Insurance</t>
        </is>
      </c>
      <c r="C37" s="13">
        <f>'Segments 2024'!D37</f>
        <v/>
      </c>
      <c r="D37" s="13">
        <f>'Segments 2024'!L37-'Segments 2024'!K37</f>
        <v/>
      </c>
      <c r="E37" s="13">
        <f>'Segments 2024'!J37-'Segments 2024'!I37</f>
        <v/>
      </c>
      <c r="F37" s="13">
        <f>'Segments 2024'!N37-'Segments 2024'!M37</f>
        <v/>
      </c>
      <c r="G37" s="13">
        <f>'Segments 2024'!F37-'Segments 2024'!E37</f>
        <v/>
      </c>
      <c r="H37" s="13">
        <f>'Segments 2024'!G37-'Segments 2024'!H37</f>
        <v/>
      </c>
      <c r="I37" s="13">
        <f>'Segments 2024'!P37-'Segments 2024'!O37</f>
        <v/>
      </c>
    </row>
    <row r="38">
      <c r="A38" s="23" t="inlineStr">
        <is>
          <t>Received wages</t>
        </is>
      </c>
      <c r="B38" s="23" t="inlineStr">
        <is>
          <t>Income</t>
        </is>
      </c>
      <c r="C38" s="18">
        <f>'Segments 2024'!D38</f>
        <v/>
      </c>
      <c r="D38" s="18">
        <f>'Segments 2024'!L38-'Segments 2024'!K38</f>
        <v/>
      </c>
      <c r="E38" s="18">
        <f>'Segments 2024'!J38-'Segments 2024'!I38</f>
        <v/>
      </c>
      <c r="F38" s="18">
        <f>'Segments 2024'!N38-'Segments 2024'!M38</f>
        <v/>
      </c>
      <c r="G38" s="18">
        <f>'Segments 2024'!F38-'Segments 2024'!E38</f>
        <v/>
      </c>
      <c r="H38" s="18">
        <f>'Segments 2024'!G38-'Segments 2024'!H38</f>
        <v/>
      </c>
      <c r="I38" s="18">
        <f>'Segments 2024'!P38-'Segments 2024'!O38</f>
        <v/>
      </c>
    </row>
    <row r="39">
      <c r="A39" s="22" t="inlineStr">
        <is>
          <t>Received wages into an account</t>
        </is>
      </c>
      <c r="B39" s="22" t="inlineStr">
        <is>
          <t>Income</t>
        </is>
      </c>
      <c r="C39" s="13">
        <f>'Segments 2024'!D39</f>
        <v/>
      </c>
      <c r="D39" s="13">
        <f>'Segments 2024'!L39-'Segments 2024'!K39</f>
        <v/>
      </c>
      <c r="E39" s="13">
        <f>'Segments 2024'!J39-'Segments 2024'!I39</f>
        <v/>
      </c>
      <c r="F39" s="13">
        <f>'Segments 2024'!N39-'Segments 2024'!M39</f>
        <v/>
      </c>
      <c r="G39" s="13">
        <f>'Segments 2024'!F39-'Segments 2024'!E39</f>
        <v/>
      </c>
      <c r="H39" s="13">
        <f>'Segments 2024'!G39-'Segments 2024'!H39</f>
        <v/>
      </c>
      <c r="I39" s="13">
        <f>'Segments 2024'!P39-'Segments 2024'!O39</f>
        <v/>
      </c>
    </row>
    <row r="40">
      <c r="A40" s="23" t="inlineStr">
        <is>
          <t>Received wages through a mobile phone</t>
        </is>
      </c>
      <c r="B40" s="23" t="inlineStr">
        <is>
          <t>Income</t>
        </is>
      </c>
      <c r="C40" s="18">
        <f>'Segments 2024'!D40</f>
        <v/>
      </c>
      <c r="D40" s="18">
        <f>'Segments 2024'!L40-'Segments 2024'!K40</f>
        <v/>
      </c>
      <c r="E40" s="18">
        <f>'Segments 2024'!J40-'Segments 2024'!I40</f>
        <v/>
      </c>
      <c r="F40" s="18">
        <f>'Segments 2024'!N40-'Segments 2024'!M40</f>
        <v/>
      </c>
      <c r="G40" s="18">
        <f>'Segments 2024'!F40-'Segments 2024'!E40</f>
        <v/>
      </c>
      <c r="H40" s="18">
        <f>'Segments 2024'!G40-'Segments 2024'!H40</f>
        <v/>
      </c>
      <c r="I40" s="18">
        <f>'Segments 2024'!P40-'Segments 2024'!O40</f>
        <v/>
      </c>
    </row>
    <row r="41">
      <c r="A41" s="22" t="inlineStr">
        <is>
          <t>Received payments for agricultural products</t>
        </is>
      </c>
      <c r="B41" s="22" t="inlineStr">
        <is>
          <t>Income</t>
        </is>
      </c>
      <c r="C41" s="13">
        <f>'Segments 2024'!D41</f>
        <v/>
      </c>
      <c r="D41" s="13">
        <f>'Segments 2024'!L41-'Segments 2024'!K41</f>
        <v/>
      </c>
      <c r="E41" s="13">
        <f>'Segments 2024'!J41-'Segments 2024'!I41</f>
        <v/>
      </c>
      <c r="F41" s="13">
        <f>'Segments 2024'!N41-'Segments 2024'!M41</f>
        <v/>
      </c>
      <c r="G41" s="13">
        <f>'Segments 2024'!F41-'Segments 2024'!E41</f>
        <v/>
      </c>
      <c r="H41" s="13">
        <f>'Segments 2024'!G41-'Segments 2024'!H41</f>
        <v/>
      </c>
      <c r="I41" s="13">
        <f>'Segments 2024'!P41-'Segments 2024'!O41</f>
        <v/>
      </c>
    </row>
    <row r="42">
      <c r="A42" s="23" t="inlineStr">
        <is>
          <t>Agricultural payments received in cash only</t>
        </is>
      </c>
      <c r="B42" s="23" t="inlineStr">
        <is>
          <t>Income</t>
        </is>
      </c>
      <c r="C42" s="18">
        <f>'Segments 2024'!D42</f>
        <v/>
      </c>
      <c r="D42" s="18">
        <f>'Segments 2024'!L42-'Segments 2024'!K42</f>
        <v/>
      </c>
      <c r="E42" s="18">
        <f>'Segments 2024'!J42-'Segments 2024'!I42</f>
        <v/>
      </c>
      <c r="F42" s="18">
        <f>'Segments 2024'!N42-'Segments 2024'!M42</f>
        <v/>
      </c>
      <c r="G42" s="18">
        <f>'Segments 2024'!F42-'Segments 2024'!E42</f>
        <v/>
      </c>
      <c r="H42" s="18">
        <f>'Segments 2024'!G42-'Segments 2024'!H42</f>
        <v/>
      </c>
      <c r="I42" s="18">
        <f>'Segments 2024'!P42-'Segments 2024'!O42</f>
        <v/>
      </c>
    </row>
    <row r="43">
      <c r="A43" s="22" t="inlineStr">
        <is>
          <t>Sent or received domestic remittances</t>
        </is>
      </c>
      <c r="B43" s="22" t="inlineStr">
        <is>
          <t>Income</t>
        </is>
      </c>
      <c r="C43" s="13">
        <f>'Segments 2024'!D43</f>
        <v/>
      </c>
      <c r="D43" s="13">
        <f>'Segments 2024'!L43-'Segments 2024'!K43</f>
        <v/>
      </c>
      <c r="E43" s="13">
        <f>'Segments 2024'!J43-'Segments 2024'!I43</f>
        <v/>
      </c>
      <c r="F43" s="13">
        <f>'Segments 2024'!N43-'Segments 2024'!M43</f>
        <v/>
      </c>
      <c r="G43" s="13">
        <f>'Segments 2024'!F43-'Segments 2024'!E43</f>
        <v/>
      </c>
      <c r="H43" s="13">
        <f>'Segments 2024'!G43-'Segments 2024'!H43</f>
        <v/>
      </c>
      <c r="I43" s="13">
        <f>'Segments 2024'!P43-'Segments 2024'!O43</f>
        <v/>
      </c>
    </row>
    <row r="44">
      <c r="A44" s="23" t="inlineStr">
        <is>
          <t>Emergency funds possible but very difficult</t>
        </is>
      </c>
      <c r="B44" s="23" t="inlineStr">
        <is>
          <t>Resilience</t>
        </is>
      </c>
      <c r="C44" s="18">
        <f>'Segments 2024'!D44</f>
        <v/>
      </c>
      <c r="D44" s="18">
        <f>'Segments 2024'!L44-'Segments 2024'!K44</f>
        <v/>
      </c>
      <c r="E44" s="18">
        <f>'Segments 2024'!J44-'Segments 2024'!I44</f>
        <v/>
      </c>
      <c r="F44" s="18">
        <f>'Segments 2024'!N44-'Segments 2024'!M44</f>
        <v/>
      </c>
      <c r="G44" s="18">
        <f>'Segments 2024'!F44-'Segments 2024'!E44</f>
        <v/>
      </c>
      <c r="H44" s="18">
        <f>'Segments 2024'!G44-'Segments 2024'!H44</f>
        <v/>
      </c>
      <c r="I44" s="18">
        <f>'Segments 2024'!P44-'Segments 2024'!O44</f>
        <v/>
      </c>
    </row>
    <row r="45">
      <c r="A45" s="22" t="inlineStr">
        <is>
          <t>Could cover more than two months without income</t>
        </is>
      </c>
      <c r="B45" s="22" t="inlineStr">
        <is>
          <t>Resilience</t>
        </is>
      </c>
      <c r="C45" s="13">
        <f>'Segments 2024'!D45</f>
        <v/>
      </c>
      <c r="D45" s="13">
        <f>'Segments 2024'!L45-'Segments 2024'!K45</f>
        <v/>
      </c>
      <c r="E45" s="13">
        <f>'Segments 2024'!J45-'Segments 2024'!I45</f>
        <v/>
      </c>
      <c r="F45" s="13">
        <f>'Segments 2024'!N45-'Segments 2024'!M45</f>
        <v/>
      </c>
      <c r="G45" s="13">
        <f>'Segments 2024'!F45-'Segments 2024'!E45</f>
        <v/>
      </c>
      <c r="H45" s="13">
        <f>'Segments 2024'!G45-'Segments 2024'!H45</f>
        <v/>
      </c>
      <c r="I45" s="13">
        <f>'Segments 2024'!P45-'Segments 2024'!O45</f>
        <v/>
      </c>
    </row>
    <row r="46">
      <c r="A46" s="23" t="inlineStr">
        <is>
          <t>Top financial worry: medical costs</t>
        </is>
      </c>
      <c r="B46" s="23" t="inlineStr">
        <is>
          <t>Resilience</t>
        </is>
      </c>
      <c r="C46" s="18">
        <f>'Segments 2024'!D46</f>
        <v/>
      </c>
      <c r="D46" s="18">
        <f>'Segments 2024'!L46-'Segments 2024'!K46</f>
        <v/>
      </c>
      <c r="E46" s="18">
        <f>'Segments 2024'!J46-'Segments 2024'!I46</f>
        <v/>
      </c>
      <c r="F46" s="18">
        <f>'Segments 2024'!N46-'Segments 2024'!M46</f>
        <v/>
      </c>
      <c r="G46" s="18">
        <f>'Segments 2024'!F46-'Segments 2024'!E46</f>
        <v/>
      </c>
      <c r="H46" s="18">
        <f>'Segments 2024'!G46-'Segments 2024'!H46</f>
        <v/>
      </c>
      <c r="I46" s="18">
        <f>'Segments 2024'!P46-'Segments 2024'!O46</f>
        <v/>
      </c>
    </row>
    <row r="47">
      <c r="A47" s="22" t="inlineStr">
        <is>
          <t>Top financial worry: monthly bills</t>
        </is>
      </c>
      <c r="B47" s="22" t="inlineStr">
        <is>
          <t>Resilience</t>
        </is>
      </c>
      <c r="C47" s="13">
        <f>'Segments 2024'!D47</f>
        <v/>
      </c>
      <c r="D47" s="13">
        <f>'Segments 2024'!L47-'Segments 2024'!K47</f>
        <v/>
      </c>
      <c r="E47" s="13">
        <f>'Segments 2024'!J47-'Segments 2024'!I47</f>
        <v/>
      </c>
      <c r="F47" s="13">
        <f>'Segments 2024'!N47-'Segments 2024'!M47</f>
        <v/>
      </c>
      <c r="G47" s="13">
        <f>'Segments 2024'!F47-'Segments 2024'!E47</f>
        <v/>
      </c>
      <c r="H47" s="13">
        <f>'Segments 2024'!G47-'Segments 2024'!H47</f>
        <v/>
      </c>
      <c r="I47" s="13">
        <f>'Segments 2024'!P47-'Segments 2024'!O47</f>
        <v/>
      </c>
    </row>
    <row r="48">
      <c r="A48" s="23" t="inlineStr">
        <is>
          <t>Top financial worry: money for old age</t>
        </is>
      </c>
      <c r="B48" s="23" t="inlineStr">
        <is>
          <t>Resilience</t>
        </is>
      </c>
      <c r="C48" s="18">
        <f>'Segments 2024'!D48</f>
        <v/>
      </c>
      <c r="D48" s="18">
        <f>'Segments 2024'!L48-'Segments 2024'!K48</f>
        <v/>
      </c>
      <c r="E48" s="18">
        <f>'Segments 2024'!J48-'Segments 2024'!I48</f>
        <v/>
      </c>
      <c r="F48" s="18">
        <f>'Segments 2024'!N48-'Segments 2024'!M48</f>
        <v/>
      </c>
      <c r="G48" s="18">
        <f>'Segments 2024'!F48-'Segments 2024'!E48</f>
        <v/>
      </c>
      <c r="H48" s="18">
        <f>'Segments 2024'!G48-'Segments 2024'!H48</f>
        <v/>
      </c>
      <c r="I48" s="18">
        <f>'Segments 2024'!P48-'Segments 2024'!O48</f>
        <v/>
      </c>
    </row>
    <row r="49">
      <c r="A49" s="22" t="inlineStr">
        <is>
          <t>Used the internet in the past three months</t>
        </is>
      </c>
      <c r="B49" s="22" t="inlineStr">
        <is>
          <t>Connectivity</t>
        </is>
      </c>
      <c r="C49" s="13">
        <f>'Segments 2024'!D49</f>
        <v/>
      </c>
      <c r="D49" s="13">
        <f>'Segments 2024'!L49-'Segments 2024'!K49</f>
        <v/>
      </c>
      <c r="E49" s="13">
        <f>'Segments 2024'!J49-'Segments 2024'!I49</f>
        <v/>
      </c>
      <c r="F49" s="13">
        <f>'Segments 2024'!N49-'Segments 2024'!M49</f>
        <v/>
      </c>
      <c r="G49" s="13">
        <f>'Segments 2024'!F49-'Segments 2024'!E49</f>
        <v/>
      </c>
      <c r="H49" s="13">
        <f>'Segments 2024'!G49-'Segments 2024'!H49</f>
        <v/>
      </c>
      <c r="I49" s="13">
        <f>'Segments 2024'!P49-'Segments 2024'!O49</f>
        <v/>
      </c>
    </row>
    <row r="50">
      <c r="A50" s="23" t="inlineStr">
        <is>
          <t>Owns a mobile phone</t>
        </is>
      </c>
      <c r="B50" s="23" t="inlineStr">
        <is>
          <t>Connectivity</t>
        </is>
      </c>
      <c r="C50" s="18">
        <f>'Segments 2024'!D50</f>
        <v/>
      </c>
      <c r="D50" s="18">
        <f>'Segments 2024'!L50-'Segments 2024'!K50</f>
        <v/>
      </c>
      <c r="E50" s="18">
        <f>'Segments 2024'!J50-'Segments 2024'!I50</f>
        <v/>
      </c>
      <c r="F50" s="18">
        <f>'Segments 2024'!N50-'Segments 2024'!M50</f>
        <v/>
      </c>
      <c r="G50" s="18">
        <f>'Segments 2024'!F50-'Segments 2024'!E50</f>
        <v/>
      </c>
      <c r="H50" s="18">
        <f>'Segments 2024'!G50-'Segments 2024'!H50</f>
        <v/>
      </c>
      <c r="I50" s="18">
        <f>'Segments 2024'!P50-'Segments 2024'!O50</f>
        <v/>
      </c>
    </row>
    <row r="51">
      <c r="A51" s="22" t="inlineStr">
        <is>
          <t>Main phone is a smartphone</t>
        </is>
      </c>
      <c r="B51" s="22" t="inlineStr">
        <is>
          <t>Connectivity</t>
        </is>
      </c>
      <c r="C51" s="13">
        <f>'Segments 2024'!D51</f>
        <v/>
      </c>
      <c r="D51" s="13">
        <f>'Segments 2024'!L51-'Segments 2024'!K51</f>
        <v/>
      </c>
      <c r="E51" s="13">
        <f>'Segments 2024'!J51-'Segments 2024'!I51</f>
        <v/>
      </c>
      <c r="F51" s="13">
        <f>'Segments 2024'!N51-'Segments 2024'!M51</f>
        <v/>
      </c>
      <c r="G51" s="13">
        <f>'Segments 2024'!F51-'Segments 2024'!E51</f>
        <v/>
      </c>
      <c r="H51" s="13">
        <f>'Segments 2024'!G51-'Segments 2024'!H51</f>
        <v/>
      </c>
      <c r="I51" s="13">
        <f>'Segments 2024'!P51-'Segments 2024'!O51</f>
        <v/>
      </c>
    </row>
    <row r="52">
      <c r="A52" s="23" t="inlineStr">
        <is>
          <t>Uses the internet daily</t>
        </is>
      </c>
      <c r="B52" s="23" t="inlineStr">
        <is>
          <t>Connectivity</t>
        </is>
      </c>
      <c r="C52" s="18">
        <f>'Segments 2024'!D52</f>
        <v/>
      </c>
      <c r="D52" s="18">
        <f>'Segments 2024'!L52-'Segments 2024'!K52</f>
        <v/>
      </c>
      <c r="E52" s="18">
        <f>'Segments 2024'!J52-'Segments 2024'!I52</f>
        <v/>
      </c>
      <c r="F52" s="18">
        <f>'Segments 2024'!N52-'Segments 2024'!M52</f>
        <v/>
      </c>
      <c r="G52" s="18">
        <f>'Segments 2024'!F52-'Segments 2024'!E52</f>
        <v/>
      </c>
      <c r="H52" s="18">
        <f>'Segments 2024'!G52-'Segments 2024'!H52</f>
        <v/>
      </c>
      <c r="I52" s="18">
        <f>'Segments 2024'!P52-'Segments 2024'!O52</f>
        <v/>
      </c>
    </row>
    <row r="53">
      <c r="A53" s="22" t="inlineStr">
        <is>
          <t>Phone is locked with a PIN, password or fingerprint</t>
        </is>
      </c>
      <c r="B53" s="22" t="inlineStr">
        <is>
          <t>Connectivity</t>
        </is>
      </c>
      <c r="C53" s="13">
        <f>'Segments 2024'!D53</f>
        <v/>
      </c>
      <c r="D53" s="13">
        <f>'Segments 2024'!L53-'Segments 2024'!K53</f>
        <v/>
      </c>
      <c r="E53" s="13">
        <f>'Segments 2024'!J53-'Segments 2024'!I53</f>
        <v/>
      </c>
      <c r="F53" s="13">
        <f>'Segments 2024'!N53-'Segments 2024'!M53</f>
        <v/>
      </c>
      <c r="G53" s="13">
        <f>'Segments 2024'!F53-'Segments 2024'!E53</f>
        <v/>
      </c>
      <c r="H53" s="13">
        <f>'Segments 2024'!G53-'Segments 2024'!H53</f>
        <v/>
      </c>
      <c r="I53" s="13">
        <f>'Segments 2024'!P53-'Segments 2024'!O53</f>
        <v/>
      </c>
    </row>
    <row r="54">
      <c r="A54" s="23" t="inlineStr">
        <is>
          <t>Used social media in the past three months</t>
        </is>
      </c>
      <c r="B54" s="23" t="inlineStr">
        <is>
          <t>Connectivity</t>
        </is>
      </c>
      <c r="C54" s="18">
        <f>'Segments 2024'!D54</f>
        <v/>
      </c>
      <c r="D54" s="18">
        <f>'Segments 2024'!L54-'Segments 2024'!K54</f>
        <v/>
      </c>
      <c r="E54" s="18">
        <f>'Segments 2024'!J54-'Segments 2024'!I54</f>
        <v/>
      </c>
      <c r="F54" s="18">
        <f>'Segments 2024'!N54-'Segments 2024'!M54</f>
        <v/>
      </c>
      <c r="G54" s="18">
        <f>'Segments 2024'!F54-'Segments 2024'!E54</f>
        <v/>
      </c>
      <c r="H54" s="18">
        <f>'Segments 2024'!G54-'Segments 2024'!H54</f>
        <v/>
      </c>
      <c r="I54" s="18">
        <f>'Segments 2024'!P54-'Segments 2024'!O54</f>
        <v/>
      </c>
    </row>
    <row r="55">
      <c r="A55" s="22" t="inlineStr">
        <is>
          <t>Used apps or websites to earn money</t>
        </is>
      </c>
      <c r="B55" s="22" t="inlineStr">
        <is>
          <t>Connectivity</t>
        </is>
      </c>
      <c r="C55" s="13">
        <f>'Segments 2024'!D55</f>
        <v/>
      </c>
      <c r="D55" s="13">
        <f>'Segments 2024'!L55-'Segments 2024'!K55</f>
        <v/>
      </c>
      <c r="E55" s="13">
        <f>'Segments 2024'!J55-'Segments 2024'!I55</f>
        <v/>
      </c>
      <c r="F55" s="13">
        <f>'Segments 2024'!N55-'Segments 2024'!M55</f>
        <v/>
      </c>
      <c r="G55" s="13">
        <f>'Segments 2024'!F55-'Segments 2024'!E55</f>
        <v/>
      </c>
      <c r="H55" s="13">
        <f>'Segments 2024'!G55-'Segments 2024'!H55</f>
        <v/>
      </c>
      <c r="I55" s="13">
        <f>'Segments 2024'!P55-'Segments 2024'!O55</f>
        <v/>
      </c>
    </row>
  </sheetData>
  <autoFilter ref="A4:I5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18" customWidth="1" min="3" max="3"/>
    <col width="14" customWidth="1" min="4" max="4"/>
  </cols>
  <sheetData>
    <row r="1">
      <c r="A1" s="1" t="inlineStr">
        <is>
          <t>Vietnam Findex 2024: national figures without a published segment breakdown</t>
        </is>
      </c>
    </row>
    <row r="2">
      <c r="A2" s="8" t="inlineStr">
        <is>
          <t>Percentage of adults aged 15+. These are the indicators the World Bank published for 2024 at national level only.</t>
        </is>
      </c>
    </row>
    <row r="4">
      <c r="A4" s="67" t="inlineStr">
        <is>
          <t>Indicator id</t>
        </is>
      </c>
      <c r="B4" s="67" t="inlineStr">
        <is>
          <t>Indicator</t>
        </is>
      </c>
      <c r="C4" s="67" t="inlineStr">
        <is>
          <t>Theme</t>
        </is>
      </c>
      <c r="D4" s="67" t="inlineStr">
        <is>
          <t>2024 (%)</t>
        </is>
      </c>
    </row>
    <row r="5">
      <c r="A5" s="22" t="inlineStr">
        <is>
          <t>fin11d</t>
        </is>
      </c>
      <c r="B5" s="22" t="inlineStr">
        <is>
          <t>No account: insufficient funds</t>
        </is>
      </c>
      <c r="C5" s="22" t="inlineStr">
        <is>
          <t>Access</t>
        </is>
      </c>
      <c r="D5" s="65" t="n">
        <v>7.72</v>
      </c>
    </row>
    <row r="6">
      <c r="A6" s="23" t="inlineStr">
        <is>
          <t>fin11a</t>
        </is>
      </c>
      <c r="B6" s="23" t="inlineStr">
        <is>
          <t>No account: institutions are too far away</t>
        </is>
      </c>
      <c r="C6" s="23" t="inlineStr">
        <is>
          <t>Access</t>
        </is>
      </c>
      <c r="D6" s="66" t="n">
        <v>4.62</v>
      </c>
    </row>
    <row r="7">
      <c r="A7" s="22" t="inlineStr">
        <is>
          <t>inactive.t.d</t>
        </is>
      </c>
      <c r="B7" s="22" t="inlineStr">
        <is>
          <t>Has an inactive account</t>
        </is>
      </c>
      <c r="C7" s="22" t="inlineStr">
        <is>
          <t>Access</t>
        </is>
      </c>
      <c r="D7" s="65" t="n">
        <v>2.06</v>
      </c>
    </row>
    <row r="8">
      <c r="A8" s="23" t="inlineStr">
        <is>
          <t>fin11b</t>
        </is>
      </c>
      <c r="B8" s="23" t="inlineStr">
        <is>
          <t>No account: services are too expensive</t>
        </is>
      </c>
      <c r="C8" s="23" t="inlineStr">
        <is>
          <t>Access</t>
        </is>
      </c>
      <c r="D8" s="66" t="n">
        <v>2.03</v>
      </c>
    </row>
    <row r="9">
      <c r="A9" s="22" t="inlineStr">
        <is>
          <t>fin11f</t>
        </is>
      </c>
      <c r="B9" s="22" t="inlineStr">
        <is>
          <t>No account: lack of trust in institutions</t>
        </is>
      </c>
      <c r="C9" s="22" t="inlineStr">
        <is>
          <t>Access</t>
        </is>
      </c>
      <c r="D9" s="65" t="n">
        <v>1.92</v>
      </c>
    </row>
    <row r="10">
      <c r="A10" s="23" t="inlineStr">
        <is>
          <t>fin11_1</t>
        </is>
      </c>
      <c r="B10" s="23" t="inlineStr">
        <is>
          <t>Ever had an account but does not now</t>
        </is>
      </c>
      <c r="C10" s="23" t="inlineStr">
        <is>
          <t>Access</t>
        </is>
      </c>
      <c r="D10" s="66" t="n">
        <v>1.5</v>
      </c>
    </row>
    <row r="11">
      <c r="A11" s="22" t="inlineStr">
        <is>
          <t>fin11c</t>
        </is>
      </c>
      <c r="B11" s="22" t="inlineStr">
        <is>
          <t>No account: lack of documentation</t>
        </is>
      </c>
      <c r="C11" s="22" t="inlineStr">
        <is>
          <t>Access</t>
        </is>
      </c>
      <c r="D11" s="65" t="n">
        <v>1.19</v>
      </c>
    </row>
    <row r="12">
      <c r="A12" s="23" t="inlineStr">
        <is>
          <t>con21</t>
        </is>
      </c>
      <c r="B12" s="23" t="inlineStr">
        <is>
          <t>Received a call or SMS asking for money in the past year</t>
        </is>
      </c>
      <c r="C12" s="23" t="inlineStr">
        <is>
          <t>Connectivity</t>
        </is>
      </c>
      <c r="D12" s="66" t="n">
        <v>8.26</v>
      </c>
    </row>
    <row r="13">
      <c r="A13" s="22" t="inlineStr">
        <is>
          <t>con23</t>
        </is>
      </c>
      <c r="B13" s="22" t="inlineStr">
        <is>
          <t>Received unwanted offensive messages or images</t>
        </is>
      </c>
      <c r="C13" s="22" t="inlineStr">
        <is>
          <t>Connectivity</t>
        </is>
      </c>
      <c r="D13" s="65" t="n">
        <v>2.04</v>
      </c>
    </row>
    <row r="14">
      <c r="A14" s="23" t="inlineStr">
        <is>
          <t>fin22a.22a1.22g.d</t>
        </is>
      </c>
      <c r="B14" s="23" t="inlineStr">
        <is>
          <t>Borrowed from a formal institution or mobile money</t>
        </is>
      </c>
      <c r="C14" s="23" t="inlineStr">
        <is>
          <t>Credit</t>
        </is>
      </c>
      <c r="D14" s="66" t="n">
        <v>8.109999999999999</v>
      </c>
    </row>
    <row r="15">
      <c r="A15" s="22" t="inlineStr">
        <is>
          <t>fin22a</t>
        </is>
      </c>
      <c r="B15" s="22" t="inlineStr">
        <is>
          <t>Borrowed from a formal financial institution</t>
        </is>
      </c>
      <c r="C15" s="22" t="inlineStr">
        <is>
          <t>Credit</t>
        </is>
      </c>
      <c r="D15" s="65" t="n">
        <v>7.67</v>
      </c>
    </row>
    <row r="16">
      <c r="A16" s="23" t="inlineStr">
        <is>
          <t>fin10</t>
        </is>
      </c>
      <c r="B16" s="23" t="inlineStr">
        <is>
          <t>Owns a credit card</t>
        </is>
      </c>
      <c r="C16" s="23" t="inlineStr">
        <is>
          <t>Credit</t>
        </is>
      </c>
      <c r="D16" s="66" t="n">
        <v>5.82</v>
      </c>
    </row>
    <row r="17">
      <c r="A17" s="22" t="inlineStr">
        <is>
          <t>fin22e</t>
        </is>
      </c>
      <c r="B17" s="22" t="inlineStr">
        <is>
          <t>Borrowed to start or operate a business</t>
        </is>
      </c>
      <c r="C17" s="22" t="inlineStr">
        <is>
          <t>Credit</t>
        </is>
      </c>
      <c r="D17" s="65" t="n">
        <v>5.68</v>
      </c>
    </row>
    <row r="18">
      <c r="A18" s="23" t="inlineStr">
        <is>
          <t>fin22f</t>
        </is>
      </c>
      <c r="B18" s="23" t="inlineStr">
        <is>
          <t>Purchased food on credit</t>
        </is>
      </c>
      <c r="C18" s="23" t="inlineStr">
        <is>
          <t>Credit</t>
        </is>
      </c>
      <c r="D18" s="66" t="n">
        <v>4.58</v>
      </c>
    </row>
    <row r="19">
      <c r="A19" s="22" t="inlineStr">
        <is>
          <t>fin22d</t>
        </is>
      </c>
      <c r="B19" s="22" t="inlineStr">
        <is>
          <t>Borrowed for health or medical purposes</t>
        </is>
      </c>
      <c r="C19" s="22" t="inlineStr">
        <is>
          <t>Credit</t>
        </is>
      </c>
      <c r="D19" s="65" t="n">
        <v>4.41</v>
      </c>
    </row>
    <row r="20">
      <c r="A20" s="23" t="inlineStr">
        <is>
          <t>fin22c</t>
        </is>
      </c>
      <c r="B20" s="23" t="inlineStr">
        <is>
          <t>Borrowed from a savings club</t>
        </is>
      </c>
      <c r="C20" s="23" t="inlineStr">
        <is>
          <t>Credit</t>
        </is>
      </c>
      <c r="D20" s="66" t="n">
        <v>3.33</v>
      </c>
    </row>
    <row r="21">
      <c r="A21" s="22" t="inlineStr">
        <is>
          <t>fin22g</t>
        </is>
      </c>
      <c r="B21" s="22" t="inlineStr">
        <is>
          <t>Used a credit card</t>
        </is>
      </c>
      <c r="C21" s="22" t="inlineStr">
        <is>
          <t>Credit</t>
        </is>
      </c>
      <c r="D21" s="65" t="n">
        <v>3.1</v>
      </c>
    </row>
    <row r="22">
      <c r="A22" s="23" t="inlineStr">
        <is>
          <t>fin22h</t>
        </is>
      </c>
      <c r="B22" s="23" t="inlineStr">
        <is>
          <t>Paid credit card balance in full by the due date</t>
        </is>
      </c>
      <c r="C22" s="23" t="inlineStr">
        <is>
          <t>Credit</t>
        </is>
      </c>
      <c r="D22" s="66" t="n">
        <v>2.93</v>
      </c>
    </row>
    <row r="23">
      <c r="A23" s="22" t="inlineStr">
        <is>
          <t>fin22a_1</t>
        </is>
      </c>
      <c r="B23" s="22" t="inlineStr">
        <is>
          <t>Borrowed from a mobile money provider</t>
        </is>
      </c>
      <c r="C23" s="22" t="inlineStr">
        <is>
          <t>Credit</t>
        </is>
      </c>
      <c r="D23" s="65" t="n">
        <v>0.77</v>
      </c>
    </row>
    <row r="24">
      <c r="A24" s="23" t="inlineStr">
        <is>
          <t>fin20</t>
        </is>
      </c>
      <c r="B24" s="23" t="inlineStr">
        <is>
          <t>Applied for a loan using a mobile phone</t>
        </is>
      </c>
      <c r="C24" s="23" t="inlineStr">
        <is>
          <t>Credit</t>
        </is>
      </c>
      <c r="D24" s="66" t="n">
        <v>0.6899999999999999</v>
      </c>
    </row>
    <row r="25">
      <c r="A25" s="22" t="inlineStr">
        <is>
          <t>fin21</t>
        </is>
      </c>
      <c r="B25" s="22" t="inlineStr">
        <is>
          <t>Received a loan using a mobile phone</t>
        </is>
      </c>
      <c r="C25" s="22" t="inlineStr">
        <is>
          <t>Credit</t>
        </is>
      </c>
      <c r="D25" s="65" t="n">
        <v>0.43</v>
      </c>
    </row>
    <row r="26">
      <c r="A26" s="23" t="inlineStr">
        <is>
          <t>fin25e4d</t>
        </is>
      </c>
      <c r="B26" s="23" t="inlineStr">
        <is>
          <t>Pays cash in store out of habit</t>
        </is>
      </c>
      <c r="C26" s="23" t="inlineStr">
        <is>
          <t>Digital payments</t>
        </is>
      </c>
      <c r="D26" s="66" t="n">
        <v>17.88</v>
      </c>
    </row>
    <row r="27">
      <c r="A27" s="22" t="inlineStr">
        <is>
          <t>fin25e4a</t>
        </is>
      </c>
      <c r="B27" s="22" t="inlineStr">
        <is>
          <t>Pays cash in store because the merchant only accepts cash</t>
        </is>
      </c>
      <c r="C27" s="22" t="inlineStr">
        <is>
          <t>Digital payments</t>
        </is>
      </c>
      <c r="D27" s="65" t="n">
        <v>3.4</v>
      </c>
    </row>
    <row r="28">
      <c r="A28" s="23" t="inlineStr">
        <is>
          <t>fin25e4e</t>
        </is>
      </c>
      <c r="B28" s="23" t="inlineStr">
        <is>
          <t>Pays cash in store: other reason</t>
        </is>
      </c>
      <c r="C28" s="23" t="inlineStr">
        <is>
          <t>Digital payments</t>
        </is>
      </c>
      <c r="D28" s="66" t="n">
        <v>0.19</v>
      </c>
    </row>
    <row r="29">
      <c r="A29" s="22" t="inlineStr">
        <is>
          <t>fin25e4c</t>
        </is>
      </c>
      <c r="B29" s="22" t="inlineStr">
        <is>
          <t>Pays cash in store: does not trust card or phone payments</t>
        </is>
      </c>
      <c r="C29" s="22" t="inlineStr">
        <is>
          <t>Digital payments</t>
        </is>
      </c>
      <c r="D29" s="65" t="n">
        <v>0.14</v>
      </c>
    </row>
    <row r="30">
      <c r="A30" s="23" t="inlineStr">
        <is>
          <t>fin25e4b</t>
        </is>
      </c>
      <c r="B30" s="23" t="inlineStr">
        <is>
          <t>Pays cash in store: card or phone is more expensive</t>
        </is>
      </c>
      <c r="C30" s="23" t="inlineStr">
        <is>
          <t>Digital payments</t>
        </is>
      </c>
      <c r="D30" s="66" t="n">
        <v>0.14</v>
      </c>
    </row>
    <row r="31">
      <c r="A31" s="22" t="inlineStr">
        <is>
          <t>fh2a</t>
        </is>
      </c>
      <c r="B31" s="22" t="inlineStr">
        <is>
          <t>Received international remittances</t>
        </is>
      </c>
      <c r="C31" s="22" t="inlineStr">
        <is>
          <t>Income</t>
        </is>
      </c>
      <c r="D31" s="65" t="n">
        <v>2.59</v>
      </c>
    </row>
    <row r="32">
      <c r="A32" s="23" t="inlineStr">
        <is>
          <t>fin24c</t>
        </is>
      </c>
      <c r="B32" s="23" t="inlineStr">
        <is>
          <t>Experienced a natural disaster or severe weather event</t>
        </is>
      </c>
      <c r="C32" s="23" t="inlineStr">
        <is>
          <t>Resilience</t>
        </is>
      </c>
      <c r="D32" s="66" t="n">
        <v>9.93</v>
      </c>
    </row>
    <row r="33">
      <c r="A33" s="22" t="inlineStr">
        <is>
          <t>fin24d1</t>
        </is>
      </c>
      <c r="B33" s="22" t="inlineStr">
        <is>
          <t>Natural disaster: lost income or could not work</t>
        </is>
      </c>
      <c r="C33" s="22" t="inlineStr">
        <is>
          <t>Resilience</t>
        </is>
      </c>
      <c r="D33" s="65" t="n">
        <v>4.01</v>
      </c>
    </row>
    <row r="34">
      <c r="A34" s="23" t="inlineStr">
        <is>
          <t>fin24ba</t>
        </is>
      </c>
      <c r="B34" s="23" t="inlineStr">
        <is>
          <t>Could cover less than two weeks without income</t>
        </is>
      </c>
      <c r="C34" s="23" t="inlineStr">
        <is>
          <t>Resilience</t>
        </is>
      </c>
      <c r="D34" s="66" t="n">
        <v>4.01</v>
      </c>
    </row>
    <row r="35">
      <c r="A35" s="22" t="inlineStr">
        <is>
          <t>fin24d2</t>
        </is>
      </c>
      <c r="B35" s="22" t="inlineStr">
        <is>
          <t>Natural disaster: damage to home or livestock</t>
        </is>
      </c>
      <c r="C35" s="22" t="inlineStr">
        <is>
          <t>Resilience</t>
        </is>
      </c>
      <c r="D35" s="65" t="n">
        <v>3.54</v>
      </c>
    </row>
    <row r="36">
      <c r="A36" s="23" t="inlineStr">
        <is>
          <t>fin24aN</t>
        </is>
      </c>
      <c r="B36" s="23" t="inlineStr">
        <is>
          <t>Emergency funds not possible at all</t>
        </is>
      </c>
      <c r="C36" s="23" t="inlineStr">
        <is>
          <t>Resilience</t>
        </is>
      </c>
      <c r="D36" s="66" t="n">
        <v>1.74</v>
      </c>
    </row>
  </sheetData>
  <autoFilter ref="A4:D3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52" customWidth="1" min="2" max="2"/>
    <col width="11" customWidth="1" min="3" max="3"/>
    <col width="11" customWidth="1" min="4" max="4"/>
    <col width="11" customWidth="1" min="5" max="5"/>
    <col width="11" customWidth="1" min="6" max="6"/>
    <col width="11" customWidth="1" min="7" max="7"/>
    <col width="17" customWidth="1" min="8" max="8"/>
    <col width="17" customWidth="1" min="9" max="9"/>
  </cols>
  <sheetData>
    <row r="1">
      <c r="A1" s="1" t="inlineStr">
        <is>
          <t>Vietnam Findex headline indicators, 2011 to 2024</t>
        </is>
      </c>
    </row>
    <row r="2">
      <c r="A2" s="8" t="inlineStr">
        <is>
          <t>Percentage of adults aged 15+. Blank means the question was not asked in that wave. Change columns show percentage points.</t>
        </is>
      </c>
    </row>
    <row r="4" ht="30" customHeight="1">
      <c r="A4" s="9" t="inlineStr">
        <is>
          <t>Indicator id</t>
        </is>
      </c>
      <c r="B4" s="9" t="inlineStr">
        <is>
          <t>Indicator</t>
        </is>
      </c>
      <c r="C4" s="10" t="inlineStr">
        <is>
          <t>2011</t>
        </is>
      </c>
      <c r="D4" s="10" t="inlineStr">
        <is>
          <t>2014</t>
        </is>
      </c>
      <c r="E4" s="10" t="inlineStr">
        <is>
          <t>2017</t>
        </is>
      </c>
      <c r="F4" s="10" t="inlineStr">
        <is>
          <t>2022</t>
        </is>
      </c>
      <c r="G4" s="10" t="inlineStr">
        <is>
          <t>2024</t>
        </is>
      </c>
      <c r="H4" s="10" t="inlineStr">
        <is>
          <t>Change 2017 to 2024</t>
        </is>
      </c>
      <c r="I4" s="10" t="inlineStr">
        <is>
          <t>Change 2022 to 2024</t>
        </is>
      </c>
    </row>
    <row r="5">
      <c r="A5" s="22" t="inlineStr">
        <is>
          <t>account.t.d</t>
        </is>
      </c>
      <c r="B5" s="22" t="inlineStr">
        <is>
          <t>Has an account (any)</t>
        </is>
      </c>
      <c r="C5" s="65" t="n">
        <v>21.37</v>
      </c>
      <c r="D5" s="65" t="n">
        <v>30.95</v>
      </c>
      <c r="E5" s="65" t="n">
        <v>30.8</v>
      </c>
      <c r="F5" s="65" t="n">
        <v>56.27</v>
      </c>
      <c r="G5" s="65" t="n">
        <v>70.55</v>
      </c>
      <c r="H5" s="13">
        <f>IF(OR(E5="",G5=""),"",G5-E5)</f>
        <v/>
      </c>
      <c r="I5" s="13">
        <f>IF(OR(F5="",G5=""),"",G5-F5)</f>
        <v/>
      </c>
    </row>
    <row r="6">
      <c r="A6" s="23" t="inlineStr">
        <is>
          <t>fiaccount.t.d</t>
        </is>
      </c>
      <c r="B6" s="23" t="inlineStr">
        <is>
          <t>Bank or similar institution account</t>
        </is>
      </c>
      <c r="C6" s="66" t="n">
        <v>21.37</v>
      </c>
      <c r="D6" s="66" t="n">
        <v>30.86</v>
      </c>
      <c r="E6" s="66" t="n">
        <v>30.02</v>
      </c>
      <c r="F6" s="66" t="n">
        <v>56.06</v>
      </c>
      <c r="G6" s="66" t="n">
        <v>69.84999999999999</v>
      </c>
      <c r="H6" s="18">
        <f>IF(OR(E6="",G6=""),"",G6-E6)</f>
        <v/>
      </c>
      <c r="I6" s="18">
        <f>IF(OR(F6="",G6=""),"",G6-F6)</f>
        <v/>
      </c>
    </row>
    <row r="7">
      <c r="A7" s="22" t="inlineStr">
        <is>
          <t>mobileaccount.t.d</t>
        </is>
      </c>
      <c r="B7" s="22" t="inlineStr">
        <is>
          <t>Mobile money account</t>
        </is>
      </c>
      <c r="C7" s="65" t="n"/>
      <c r="D7" s="65" t="n">
        <v>0.5</v>
      </c>
      <c r="E7" s="65" t="n">
        <v>3.5</v>
      </c>
      <c r="F7" s="65" t="n">
        <v>16.47</v>
      </c>
      <c r="G7" s="65" t="n">
        <v>38.72</v>
      </c>
      <c r="H7" s="13">
        <f>IF(OR(E7="",G7=""),"",G7-E7)</f>
        <v/>
      </c>
      <c r="I7" s="13">
        <f>IF(OR(F7="",G7=""),"",G7-F7)</f>
        <v/>
      </c>
    </row>
    <row r="8">
      <c r="A8" s="23" t="inlineStr">
        <is>
          <t>fin2.t.d</t>
        </is>
      </c>
      <c r="B8" s="23" t="inlineStr">
        <is>
          <t>Owns a debit card</t>
        </is>
      </c>
      <c r="C8" s="66" t="n">
        <v>14.59</v>
      </c>
      <c r="D8" s="66" t="n">
        <v>26.51</v>
      </c>
      <c r="E8" s="66" t="n">
        <v>26.74</v>
      </c>
      <c r="F8" s="66" t="n">
        <v>48.87</v>
      </c>
      <c r="G8" s="66" t="n">
        <v>64.81999999999999</v>
      </c>
      <c r="H8" s="18">
        <f>IF(OR(E8="",G8=""),"",G8-E8)</f>
        <v/>
      </c>
      <c r="I8" s="18">
        <f>IF(OR(F8="",G8=""),"",G8-F8)</f>
        <v/>
      </c>
    </row>
    <row r="9">
      <c r="A9" s="22" t="inlineStr">
        <is>
          <t>fin10</t>
        </is>
      </c>
      <c r="B9" s="22" t="inlineStr">
        <is>
          <t>Owns a credit card</t>
        </is>
      </c>
      <c r="C9" s="65" t="n">
        <v>1.24</v>
      </c>
      <c r="D9" s="65" t="n">
        <v>1.93</v>
      </c>
      <c r="E9" s="65" t="n">
        <v>4.12</v>
      </c>
      <c r="F9" s="65" t="n">
        <v>5.64</v>
      </c>
      <c r="G9" s="65" t="n">
        <v>5.82</v>
      </c>
      <c r="H9" s="13">
        <f>IF(OR(E9="",G9=""),"",G9-E9)</f>
        <v/>
      </c>
      <c r="I9" s="13">
        <f>IF(OR(F9="",G9=""),"",G9-F9)</f>
        <v/>
      </c>
    </row>
    <row r="10">
      <c r="A10" s="23" t="inlineStr">
        <is>
          <t>g20.any</t>
        </is>
      </c>
      <c r="B10" s="23" t="inlineStr">
        <is>
          <t>Made or received a digital payment</t>
        </is>
      </c>
      <c r="C10" s="66" t="n"/>
      <c r="D10" s="66" t="n">
        <v>19.38</v>
      </c>
      <c r="E10" s="66" t="n">
        <v>22.74</v>
      </c>
      <c r="F10" s="66" t="n">
        <v>45.98</v>
      </c>
      <c r="G10" s="66" t="n">
        <v>62.38</v>
      </c>
      <c r="H10" s="18">
        <f>IF(OR(E10="",G10=""),"",G10-E10)</f>
        <v/>
      </c>
      <c r="I10" s="18">
        <f>IF(OR(F10="",G10=""),"",G10-F10)</f>
        <v/>
      </c>
    </row>
    <row r="11">
      <c r="A11" s="22" t="inlineStr">
        <is>
          <t>g20.made</t>
        </is>
      </c>
      <c r="B11" s="22" t="inlineStr">
        <is>
          <t>Made a digital payment</t>
        </is>
      </c>
      <c r="C11" s="65" t="n"/>
      <c r="D11" s="65" t="n">
        <v>10.59</v>
      </c>
      <c r="E11" s="65" t="n">
        <v>16.1</v>
      </c>
      <c r="F11" s="65" t="n">
        <v>41.93</v>
      </c>
      <c r="G11" s="65" t="n">
        <v>56.47</v>
      </c>
      <c r="H11" s="13">
        <f>IF(OR(E11="",G11=""),"",G11-E11)</f>
        <v/>
      </c>
      <c r="I11" s="13">
        <f>IF(OR(F11="",G11=""),"",G11-F11)</f>
        <v/>
      </c>
    </row>
    <row r="12">
      <c r="A12" s="23" t="inlineStr">
        <is>
          <t>g20.received</t>
        </is>
      </c>
      <c r="B12" s="23" t="inlineStr">
        <is>
          <t>Received digital payments</t>
        </is>
      </c>
      <c r="C12" s="66" t="n"/>
      <c r="D12" s="66" t="n">
        <v>15.67</v>
      </c>
      <c r="E12" s="66" t="n">
        <v>14.92</v>
      </c>
      <c r="F12" s="66" t="n">
        <v>30.82</v>
      </c>
      <c r="G12" s="66" t="n">
        <v>48.05</v>
      </c>
      <c r="H12" s="18">
        <f>IF(OR(E12="",G12=""),"",G12-E12)</f>
        <v/>
      </c>
      <c r="I12" s="18">
        <f>IF(OR(F12="",G12=""),"",G12-F12)</f>
        <v/>
      </c>
    </row>
    <row r="13">
      <c r="A13" s="22" t="inlineStr">
        <is>
          <t>merchant.pay</t>
        </is>
      </c>
      <c r="B13" s="22" t="inlineStr">
        <is>
          <t>Made a digital merchant payment</t>
        </is>
      </c>
      <c r="C13" s="65" t="n"/>
      <c r="D13" s="65" t="n"/>
      <c r="E13" s="65" t="n"/>
      <c r="F13" s="65" t="n">
        <v>24.26</v>
      </c>
      <c r="G13" s="65" t="n">
        <v>51.13</v>
      </c>
      <c r="H13" s="13">
        <f>IF(OR(E13="",G13=""),"",G13-E13)</f>
        <v/>
      </c>
      <c r="I13" s="13">
        <f>IF(OR(F13="",G13=""),"",G13-F13)</f>
        <v/>
      </c>
    </row>
    <row r="14">
      <c r="A14" s="23" t="inlineStr">
        <is>
          <t>fin25e2</t>
        </is>
      </c>
      <c r="B14" s="23" t="inlineStr">
        <is>
          <t>Used mobile or card for an in-store purchase</t>
        </is>
      </c>
      <c r="C14" s="66" t="n"/>
      <c r="D14" s="66" t="n"/>
      <c r="E14" s="66" t="n"/>
      <c r="F14" s="66" t="n">
        <v>21.17</v>
      </c>
      <c r="G14" s="66" t="n">
        <v>48.26</v>
      </c>
      <c r="H14" s="18">
        <f>IF(OR(E14="",G14=""),"",G14-E14)</f>
        <v/>
      </c>
      <c r="I14" s="18">
        <f>IF(OR(F14="",G14=""),"",G14-F14)</f>
        <v/>
      </c>
    </row>
    <row r="15">
      <c r="A15" s="22" t="inlineStr">
        <is>
          <t>fin26a</t>
        </is>
      </c>
      <c r="B15" s="22" t="inlineStr">
        <is>
          <t>Used mobile or internet to pay bills</t>
        </is>
      </c>
      <c r="C15" s="65" t="n"/>
      <c r="D15" s="65" t="n"/>
      <c r="E15" s="65" t="n">
        <v>6.53</v>
      </c>
      <c r="F15" s="65" t="n">
        <v>25.02</v>
      </c>
      <c r="G15" s="65" t="n">
        <v>45.5</v>
      </c>
      <c r="H15" s="13">
        <f>IF(OR(E15="",G15=""),"",G15-E15)</f>
        <v/>
      </c>
      <c r="I15" s="13">
        <f>IF(OR(F15="",G15=""),"",G15-F15)</f>
        <v/>
      </c>
    </row>
    <row r="16">
      <c r="A16" s="23" t="inlineStr">
        <is>
          <t>fin31a.31b</t>
        </is>
      </c>
      <c r="B16" s="23" t="inlineStr">
        <is>
          <t>Utility payment using an account</t>
        </is>
      </c>
      <c r="C16" s="66" t="n"/>
      <c r="D16" s="66" t="n">
        <v>0.63</v>
      </c>
      <c r="E16" s="66" t="n">
        <v>3.35</v>
      </c>
      <c r="F16" s="66" t="n">
        <v>15.51</v>
      </c>
      <c r="G16" s="66" t="n">
        <v>32.7</v>
      </c>
      <c r="H16" s="18">
        <f>IF(OR(E16="",G16=""),"",G16-E16)</f>
        <v/>
      </c>
      <c r="I16" s="18">
        <f>IF(OR(F16="",G16=""),"",G16-F16)</f>
        <v/>
      </c>
    </row>
    <row r="17">
      <c r="A17" s="22" t="inlineStr">
        <is>
          <t>fin31d</t>
        </is>
      </c>
      <c r="B17" s="22" t="inlineStr">
        <is>
          <t>Utility payment in cash only</t>
        </is>
      </c>
      <c r="C17" s="65" t="n"/>
      <c r="D17" s="65" t="n">
        <v>85.69</v>
      </c>
      <c r="E17" s="65" t="n">
        <v>69.13</v>
      </c>
      <c r="F17" s="65" t="n">
        <v>39.07</v>
      </c>
      <c r="G17" s="65" t="n">
        <v>25.06</v>
      </c>
      <c r="H17" s="13">
        <f>IF(OR(E17="",G17=""),"",G17-E17)</f>
        <v/>
      </c>
      <c r="I17" s="13">
        <f>IF(OR(F17="",G17=""),"",G17-F17)</f>
        <v/>
      </c>
    </row>
    <row r="18">
      <c r="A18" s="23" t="inlineStr">
        <is>
          <t>fin32.acc</t>
        </is>
      </c>
      <c r="B18" s="23" t="inlineStr">
        <is>
          <t>Received wages into an account</t>
        </is>
      </c>
      <c r="C18" s="66" t="n"/>
      <c r="D18" s="66" t="n">
        <v>7.76</v>
      </c>
      <c r="E18" s="66" t="n">
        <v>10.43</v>
      </c>
      <c r="F18" s="66" t="n">
        <v>23.77</v>
      </c>
      <c r="G18" s="66" t="n">
        <v>36.99</v>
      </c>
      <c r="H18" s="18">
        <f>IF(OR(E18="",G18=""),"",G18-E18)</f>
        <v/>
      </c>
      <c r="I18" s="18">
        <f>IF(OR(F18="",G18=""),"",G18-F18)</f>
        <v/>
      </c>
    </row>
    <row r="19">
      <c r="A19" s="22" t="inlineStr">
        <is>
          <t>fin34b</t>
        </is>
      </c>
      <c r="B19" s="22" t="inlineStr">
        <is>
          <t>Received wages through a mobile phone</t>
        </is>
      </c>
      <c r="C19" s="65" t="n"/>
      <c r="D19" s="65" t="n">
        <v>0</v>
      </c>
      <c r="E19" s="65" t="n">
        <v>0.57</v>
      </c>
      <c r="F19" s="65" t="n">
        <v>4.71</v>
      </c>
      <c r="G19" s="65" t="n">
        <v>19.66</v>
      </c>
      <c r="H19" s="13">
        <f>IF(OR(E19="",G19=""),"",G19-E19)</f>
        <v/>
      </c>
      <c r="I19" s="13">
        <f>IF(OR(F19="",G19=""),"",G19-F19)</f>
        <v/>
      </c>
    </row>
    <row r="20">
      <c r="A20" s="23" t="inlineStr">
        <is>
          <t>save.any.t.d</t>
        </is>
      </c>
      <c r="B20" s="23" t="inlineStr">
        <is>
          <t>Saved any money</t>
        </is>
      </c>
      <c r="C20" s="66" t="n"/>
      <c r="D20" s="66" t="n">
        <v>63.3</v>
      </c>
      <c r="E20" s="66" t="n">
        <v>57.4</v>
      </c>
      <c r="F20" s="66" t="n">
        <v>52.4</v>
      </c>
      <c r="G20" s="66" t="n">
        <v>68.56999999999999</v>
      </c>
      <c r="H20" s="18">
        <f>IF(OR(E20="",G20=""),"",G20-E20)</f>
        <v/>
      </c>
      <c r="I20" s="18">
        <f>IF(OR(F20="",G20=""),"",G20-F20)</f>
        <v/>
      </c>
    </row>
    <row r="21">
      <c r="A21" s="22" t="inlineStr">
        <is>
          <t>fin17a</t>
        </is>
      </c>
      <c r="B21" s="22" t="inlineStr">
        <is>
          <t>Saved at a bank or similar institution</t>
        </is>
      </c>
      <c r="C21" s="65" t="n">
        <v>7.74</v>
      </c>
      <c r="D21" s="65" t="n">
        <v>14.61</v>
      </c>
      <c r="E21" s="65" t="n">
        <v>14.48</v>
      </c>
      <c r="F21" s="65" t="n">
        <v>19.86</v>
      </c>
      <c r="G21" s="65" t="n">
        <v>43.09</v>
      </c>
      <c r="H21" s="13">
        <f>IF(OR(E21="",G21=""),"",G21-E21)</f>
        <v/>
      </c>
      <c r="I21" s="13">
        <f>IF(OR(F21="",G21=""),"",G21-F21)</f>
        <v/>
      </c>
    </row>
    <row r="22">
      <c r="A22" s="23" t="inlineStr">
        <is>
          <t>fin17b</t>
        </is>
      </c>
      <c r="B22" s="23" t="inlineStr">
        <is>
          <t>Saved using a mobile money account</t>
        </is>
      </c>
      <c r="C22" s="66" t="n"/>
      <c r="D22" s="66" t="n"/>
      <c r="E22" s="66" t="n"/>
      <c r="F22" s="66" t="n">
        <v>4.6</v>
      </c>
      <c r="G22" s="66" t="n">
        <v>10.06</v>
      </c>
      <c r="H22" s="18">
        <f>IF(OR(E22="",G22=""),"",G22-E22)</f>
        <v/>
      </c>
      <c r="I22" s="18">
        <f>IF(OR(F22="",G22=""),"",G22-F22)</f>
        <v/>
      </c>
    </row>
    <row r="23">
      <c r="A23" s="22" t="inlineStr">
        <is>
          <t>borrow.any.t.d</t>
        </is>
      </c>
      <c r="B23" s="22" t="inlineStr">
        <is>
          <t>Borrowed any money</t>
        </is>
      </c>
      <c r="C23" s="65" t="n"/>
      <c r="D23" s="65" t="n">
        <v>47.45</v>
      </c>
      <c r="E23" s="65" t="n">
        <v>49.02</v>
      </c>
      <c r="F23" s="65" t="n">
        <v>27.54</v>
      </c>
      <c r="G23" s="65" t="n">
        <v>43.2</v>
      </c>
      <c r="H23" s="13">
        <f>IF(OR(E23="",G23=""),"",G23-E23)</f>
        <v/>
      </c>
      <c r="I23" s="13">
        <f>IF(OR(F23="",G23=""),"",G23-F23)</f>
        <v/>
      </c>
    </row>
    <row r="24">
      <c r="A24" s="23" t="inlineStr">
        <is>
          <t>fin22a</t>
        </is>
      </c>
      <c r="B24" s="23" t="inlineStr">
        <is>
          <t>Borrowed from a formal financial institution</t>
        </is>
      </c>
      <c r="C24" s="66" t="n"/>
      <c r="D24" s="66" t="n">
        <v>19.5</v>
      </c>
      <c r="E24" s="66" t="n">
        <v>21.72</v>
      </c>
      <c r="F24" s="66" t="n">
        <v>10.02</v>
      </c>
      <c r="G24" s="66" t="n">
        <v>7.67</v>
      </c>
      <c r="H24" s="18">
        <f>IF(OR(E24="",G24=""),"",G24-E24)</f>
        <v/>
      </c>
      <c r="I24" s="18">
        <f>IF(OR(F24="",G24=""),"",G24-F24)</f>
        <v/>
      </c>
    </row>
    <row r="25">
      <c r="A25" s="22" t="inlineStr">
        <is>
          <t>fin22b</t>
        </is>
      </c>
      <c r="B25" s="22" t="inlineStr">
        <is>
          <t>Borrowed from family or friends</t>
        </is>
      </c>
      <c r="C25" s="65" t="n"/>
      <c r="D25" s="65" t="n">
        <v>29.88</v>
      </c>
      <c r="E25" s="65" t="n">
        <v>29.54</v>
      </c>
      <c r="F25" s="65" t="n">
        <v>17.94</v>
      </c>
      <c r="G25" s="65" t="n">
        <v>33.59</v>
      </c>
      <c r="H25" s="13">
        <f>IF(OR(E25="",G25=""),"",G25-E25)</f>
        <v/>
      </c>
      <c r="I25" s="13">
        <f>IF(OR(F25="",G25=""),"",G25-F25)</f>
        <v/>
      </c>
    </row>
    <row r="26">
      <c r="A26" s="23" t="inlineStr">
        <is>
          <t>fin22e</t>
        </is>
      </c>
      <c r="B26" s="23" t="inlineStr">
        <is>
          <t>Borrowed to start or operate a business</t>
        </is>
      </c>
      <c r="C26" s="66" t="n"/>
      <c r="D26" s="66" t="n">
        <v>7.12</v>
      </c>
      <c r="E26" s="66" t="n">
        <v>14.79</v>
      </c>
      <c r="F26" s="66" t="n"/>
      <c r="G26" s="66" t="n">
        <v>5.68</v>
      </c>
      <c r="H26" s="18">
        <f>IF(OR(E26="",G26=""),"",G26-E26)</f>
        <v/>
      </c>
      <c r="I26" s="18">
        <f>IF(OR(F26="",G26=""),"",G26-F26)</f>
        <v/>
      </c>
    </row>
    <row r="27">
      <c r="A27" s="22" t="inlineStr">
        <is>
          <t>fin22d</t>
        </is>
      </c>
      <c r="B27" s="22" t="inlineStr">
        <is>
          <t>Borrowed for health or medical purposes</t>
        </is>
      </c>
      <c r="C27" s="65" t="n"/>
      <c r="D27" s="65" t="n">
        <v>7.72</v>
      </c>
      <c r="E27" s="65" t="n">
        <v>9.07</v>
      </c>
      <c r="F27" s="65" t="n">
        <v>3.88</v>
      </c>
      <c r="G27" s="65" t="n">
        <v>4.41</v>
      </c>
      <c r="H27" s="13">
        <f>IF(OR(E27="",G27=""),"",G27-E27)</f>
        <v/>
      </c>
      <c r="I27" s="13">
        <f>IF(OR(F27="",G27=""),"",G27-F27)</f>
        <v/>
      </c>
    </row>
    <row r="28">
      <c r="A28" s="23" t="inlineStr">
        <is>
          <t>inactive.t.d</t>
        </is>
      </c>
      <c r="B28" s="23" t="inlineStr">
        <is>
          <t>Has an inactive account</t>
        </is>
      </c>
      <c r="C28" s="66" t="n"/>
      <c r="D28" s="66" t="n">
        <v>4.75</v>
      </c>
      <c r="E28" s="66" t="n">
        <v>2.88</v>
      </c>
      <c r="F28" s="66" t="n">
        <v>4.32</v>
      </c>
      <c r="G28" s="66" t="n">
        <v>2.06</v>
      </c>
      <c r="H28" s="18">
        <f>IF(OR(E28="",G28=""),"",G28-E28)</f>
        <v/>
      </c>
      <c r="I28" s="18">
        <f>IF(OR(F28="",G28=""),"",G28-F28)</f>
        <v/>
      </c>
    </row>
    <row r="29">
      <c r="A29" s="22" t="inlineStr">
        <is>
          <t>fin42</t>
        </is>
      </c>
      <c r="B29" s="22" t="inlineStr">
        <is>
          <t>Received payments for agricultural products</t>
        </is>
      </c>
      <c r="C29" s="65" t="n"/>
      <c r="D29" s="65" t="n">
        <v>28.46</v>
      </c>
      <c r="E29" s="65" t="n">
        <v>24.22</v>
      </c>
      <c r="F29" s="65" t="n">
        <v>16.34</v>
      </c>
      <c r="G29" s="65" t="n">
        <v>23.75</v>
      </c>
      <c r="H29" s="13">
        <f>IF(OR(E29="",G29=""),"",G29-E29)</f>
        <v/>
      </c>
      <c r="I29" s="13">
        <f>IF(OR(F29="",G29=""),"",G29-F29)</f>
        <v/>
      </c>
    </row>
    <row r="30">
      <c r="A30" s="23" t="inlineStr">
        <is>
          <t>fin43c</t>
        </is>
      </c>
      <c r="B30" s="23" t="inlineStr">
        <is>
          <t>Agricultural payments in cash only</t>
        </is>
      </c>
      <c r="C30" s="66" t="n"/>
      <c r="D30" s="66" t="n">
        <v>28</v>
      </c>
      <c r="E30" s="66" t="n">
        <v>22.87</v>
      </c>
      <c r="F30" s="66" t="n">
        <v>14.38</v>
      </c>
      <c r="G30" s="66" t="n">
        <v>17.48</v>
      </c>
      <c r="H30" s="18">
        <f>IF(OR(E30="",G30=""),"",G30-E30)</f>
        <v/>
      </c>
      <c r="I30" s="18">
        <f>IF(OR(F30="",G30=""),"",G30-F30)</f>
        <v/>
      </c>
    </row>
  </sheetData>
  <autoFilter ref="A4:I30"/>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43"/>
  <sheetViews>
    <sheetView showGridLines="0" workbookViewId="0">
      <pane ySplit="4" topLeftCell="A5" activePane="bottomLeft" state="frozen"/>
      <selection pane="bottomLeft" activeCell="A1" sqref="A1"/>
    </sheetView>
  </sheetViews>
  <sheetFormatPr baseColWidth="8" defaultRowHeight="15"/>
  <cols>
    <col width="18" customWidth="1" min="1" max="1"/>
    <col width="46" customWidth="1" min="2" max="2"/>
    <col width="30" customWidth="1" min="3" max="3"/>
    <col width="18" customWidth="1" min="4" max="4"/>
    <col width="34" customWidth="1" min="5" max="5"/>
  </cols>
  <sheetData>
    <row r="1">
      <c r="A1" s="1" t="inlineStr">
        <is>
          <t>Vietnam macro, banking and market reference figures</t>
        </is>
      </c>
    </row>
    <row r="2">
      <c r="A2" s="8" t="inlineStr">
        <is>
          <t>Compiled 20 September 2026. Every row names its period and source. Re-check each figure against the source before citing it in a submission.</t>
        </is>
      </c>
    </row>
    <row r="4">
      <c r="A4" s="67" t="inlineStr">
        <is>
          <t>Category</t>
        </is>
      </c>
      <c r="B4" s="67" t="inlineStr">
        <is>
          <t>Indicator</t>
        </is>
      </c>
      <c r="C4" s="67" t="inlineStr">
        <is>
          <t>Value</t>
        </is>
      </c>
      <c r="D4" s="67" t="inlineStr">
        <is>
          <t>Period</t>
        </is>
      </c>
      <c r="E4" s="67" t="inlineStr">
        <is>
          <t>Source</t>
        </is>
      </c>
    </row>
    <row r="5">
      <c r="A5" s="68" t="inlineStr">
        <is>
          <t>Macro</t>
        </is>
      </c>
      <c r="B5" s="68" t="inlineStr">
        <is>
          <t>GDP growth</t>
        </is>
      </c>
      <c r="C5" s="68" t="inlineStr">
        <is>
          <t>8.18%</t>
        </is>
      </c>
      <c r="D5" s="68" t="inlineStr">
        <is>
          <t>H1 2026</t>
        </is>
      </c>
      <c r="E5" s="68" t="inlineStr">
        <is>
          <t>National Statistics Office</t>
        </is>
      </c>
    </row>
    <row r="6">
      <c r="A6" s="54" t="inlineStr">
        <is>
          <t>Macro</t>
        </is>
      </c>
      <c r="B6" s="54" t="inlineStr">
        <is>
          <t>GDP growth</t>
        </is>
      </c>
      <c r="C6" s="54" t="inlineStr">
        <is>
          <t>8.39%</t>
        </is>
      </c>
      <c r="D6" s="54" t="inlineStr">
        <is>
          <t>Q2 2026</t>
        </is>
      </c>
      <c r="E6" s="54" t="inlineStr">
        <is>
          <t>National Statistics Office</t>
        </is>
      </c>
    </row>
    <row r="7">
      <c r="A7" s="52" t="inlineStr">
        <is>
          <t>Macro</t>
        </is>
      </c>
      <c r="B7" s="52" t="inlineStr">
        <is>
          <t>GDP growth</t>
        </is>
      </c>
      <c r="C7" s="52" t="inlineStr">
        <is>
          <t>7.83%</t>
        </is>
      </c>
      <c r="D7" s="52" t="inlineStr">
        <is>
          <t>Q1 2026</t>
        </is>
      </c>
      <c r="E7" s="52" t="inlineStr">
        <is>
          <t>National Statistics Office</t>
        </is>
      </c>
    </row>
    <row r="8">
      <c r="A8" s="54" t="inlineStr">
        <is>
          <t>Macro</t>
        </is>
      </c>
      <c r="B8" s="54" t="inlineStr">
        <is>
          <t>GDP growth forecast</t>
        </is>
      </c>
      <c r="C8" s="54" t="inlineStr">
        <is>
          <t>7.3%</t>
        </is>
      </c>
      <c r="D8" s="54" t="inlineStr">
        <is>
          <t>FY2026</t>
        </is>
      </c>
      <c r="E8" s="54" t="inlineStr">
        <is>
          <t>Bloomberg survey, July 2026</t>
        </is>
      </c>
    </row>
    <row r="9">
      <c r="A9" s="52" t="inlineStr">
        <is>
          <t>Macro</t>
        </is>
      </c>
      <c r="B9" s="52" t="inlineStr">
        <is>
          <t>GDP growth forecast</t>
        </is>
      </c>
      <c r="C9" s="52" t="inlineStr">
        <is>
          <t>6.8%</t>
        </is>
      </c>
      <c r="D9" s="52" t="inlineStr">
        <is>
          <t>FY2026</t>
        </is>
      </c>
      <c r="E9" s="52" t="inlineStr">
        <is>
          <t>World Bank, May 2026</t>
        </is>
      </c>
    </row>
    <row r="10">
      <c r="A10" s="54" t="inlineStr">
        <is>
          <t>Macro</t>
        </is>
      </c>
      <c r="B10" s="54" t="inlineStr">
        <is>
          <t>GDP growth forecast</t>
        </is>
      </c>
      <c r="C10" s="54" t="inlineStr">
        <is>
          <t>7.2%</t>
        </is>
      </c>
      <c r="D10" s="54" t="inlineStr">
        <is>
          <t>FY2026</t>
        </is>
      </c>
      <c r="E10" s="54" t="inlineStr">
        <is>
          <t>AMRO</t>
        </is>
      </c>
    </row>
    <row r="11">
      <c r="A11" s="52" t="inlineStr">
        <is>
          <t>Macro</t>
        </is>
      </c>
      <c r="B11" s="52" t="inlineStr">
        <is>
          <t>CPI inflation</t>
        </is>
      </c>
      <c r="C11" s="52" t="inlineStr">
        <is>
          <t>4.69% y/y</t>
        </is>
      </c>
      <c r="D11" s="52" t="inlineStr">
        <is>
          <t>June 2026</t>
        </is>
      </c>
      <c r="E11" s="52" t="inlineStr">
        <is>
          <t>National Statistics Office</t>
        </is>
      </c>
    </row>
    <row r="12">
      <c r="A12" s="54" t="inlineStr">
        <is>
          <t>Macro</t>
        </is>
      </c>
      <c r="B12" s="54" t="inlineStr">
        <is>
          <t>CPI inflation, average</t>
        </is>
      </c>
      <c r="C12" s="54" t="inlineStr">
        <is>
          <t>4.38%</t>
        </is>
      </c>
      <c r="D12" s="54" t="inlineStr">
        <is>
          <t>H1 2026</t>
        </is>
      </c>
      <c r="E12" s="54" t="inlineStr">
        <is>
          <t>National Statistics Office</t>
        </is>
      </c>
    </row>
    <row r="13">
      <c r="A13" s="52" t="inlineStr">
        <is>
          <t>Macro</t>
        </is>
      </c>
      <c r="B13" s="52" t="inlineStr">
        <is>
          <t>Core inflation</t>
        </is>
      </c>
      <c r="C13" s="52" t="inlineStr">
        <is>
          <t>4.50%</t>
        </is>
      </c>
      <c r="D13" s="52" t="inlineStr">
        <is>
          <t>June 2026</t>
        </is>
      </c>
      <c r="E13" s="52" t="inlineStr">
        <is>
          <t>National Statistics Office</t>
        </is>
      </c>
    </row>
    <row r="14">
      <c r="A14" s="54" t="inlineStr">
        <is>
          <t>Macro</t>
        </is>
      </c>
      <c r="B14" s="54" t="inlineStr">
        <is>
          <t>Retail sales</t>
        </is>
      </c>
      <c r="C14" s="54" t="inlineStr">
        <is>
          <t>VND 3,889.5tn, +12.9% nominal, +7.3% real</t>
        </is>
      </c>
      <c r="D14" s="54" t="inlineStr">
        <is>
          <t>H1 2026</t>
        </is>
      </c>
      <c r="E14" s="54" t="inlineStr">
        <is>
          <t>National Statistics Office</t>
        </is>
      </c>
    </row>
    <row r="15">
      <c r="A15" s="52" t="inlineStr">
        <is>
          <t>Macro</t>
        </is>
      </c>
      <c r="B15" s="52" t="inlineStr">
        <is>
          <t>FDI registered</t>
        </is>
      </c>
      <c r="C15" s="52" t="inlineStr">
        <is>
          <t>USD 34.65bn, +61.0%</t>
        </is>
      </c>
      <c r="D15" s="52" t="inlineStr">
        <is>
          <t>H1 2026</t>
        </is>
      </c>
      <c r="E15" s="52" t="inlineStr">
        <is>
          <t>National Statistics Office</t>
        </is>
      </c>
    </row>
    <row r="16">
      <c r="A16" s="54" t="inlineStr">
        <is>
          <t>Macro</t>
        </is>
      </c>
      <c r="B16" s="54" t="inlineStr">
        <is>
          <t>FDI disbursed</t>
        </is>
      </c>
      <c r="C16" s="54" t="inlineStr">
        <is>
          <t>USD 13.03bn, +11.2%</t>
        </is>
      </c>
      <c r="D16" s="54" t="inlineStr">
        <is>
          <t>H1 2026</t>
        </is>
      </c>
      <c r="E16" s="54" t="inlineStr">
        <is>
          <t>National Statistics Office</t>
        </is>
      </c>
    </row>
    <row r="17">
      <c r="A17" s="52" t="inlineStr">
        <is>
          <t>Macro</t>
        </is>
      </c>
      <c r="B17" s="52" t="inlineStr">
        <is>
          <t>Exports</t>
        </is>
      </c>
      <c r="C17" s="52" t="inlineStr">
        <is>
          <t>USD 266.52bn, +21.0%</t>
        </is>
      </c>
      <c r="D17" s="52" t="inlineStr">
        <is>
          <t>H1 2026</t>
        </is>
      </c>
      <c r="E17" s="52" t="inlineStr">
        <is>
          <t>National Statistics Office</t>
        </is>
      </c>
    </row>
    <row r="18">
      <c r="A18" s="54" t="inlineStr">
        <is>
          <t>Macro</t>
        </is>
      </c>
      <c r="B18" s="54" t="inlineStr">
        <is>
          <t>Imports</t>
        </is>
      </c>
      <c r="C18" s="54" t="inlineStr">
        <is>
          <t>USD 283.17bn, +33.4%</t>
        </is>
      </c>
      <c r="D18" s="54" t="inlineStr">
        <is>
          <t>H1 2026</t>
        </is>
      </c>
      <c r="E18" s="54" t="inlineStr">
        <is>
          <t>National Statistics Office</t>
        </is>
      </c>
    </row>
    <row r="19">
      <c r="A19" s="52" t="inlineStr">
        <is>
          <t>Macro</t>
        </is>
      </c>
      <c r="B19" s="52" t="inlineStr">
        <is>
          <t>Trade deficit</t>
        </is>
      </c>
      <c r="C19" s="52" t="inlineStr">
        <is>
          <t>USD 16.65bn</t>
        </is>
      </c>
      <c r="D19" s="52" t="inlineStr">
        <is>
          <t>H1 2026</t>
        </is>
      </c>
      <c r="E19" s="52" t="inlineStr">
        <is>
          <t>National Statistics Office</t>
        </is>
      </c>
    </row>
    <row r="20">
      <c r="A20" s="54" t="inlineStr">
        <is>
          <t>Macro</t>
        </is>
      </c>
      <c r="B20" s="54" t="inlineStr">
        <is>
          <t>Unemployment rate</t>
        </is>
      </c>
      <c r="C20" s="54" t="inlineStr">
        <is>
          <t>2.22%</t>
        </is>
      </c>
      <c r="D20" s="54" t="inlineStr">
        <is>
          <t>H1 2026</t>
        </is>
      </c>
      <c r="E20" s="54" t="inlineStr">
        <is>
          <t>National Statistics Office</t>
        </is>
      </c>
    </row>
    <row r="21">
      <c r="A21" s="52" t="inlineStr">
        <is>
          <t>Macro</t>
        </is>
      </c>
      <c r="B21" s="52" t="inlineStr">
        <is>
          <t>Employed persons</t>
        </is>
      </c>
      <c r="C21" s="52" t="inlineStr">
        <is>
          <t>52.6 million</t>
        </is>
      </c>
      <c r="D21" s="52" t="inlineStr">
        <is>
          <t>H1 2026</t>
        </is>
      </c>
      <c r="E21" s="52" t="inlineStr">
        <is>
          <t>National Statistics Office</t>
        </is>
      </c>
    </row>
    <row r="22">
      <c r="A22" s="54" t="inlineStr">
        <is>
          <t>Macro</t>
        </is>
      </c>
      <c r="B22" s="54" t="inlineStr">
        <is>
          <t>Average monthly income</t>
        </is>
      </c>
      <c r="C22" s="54" t="inlineStr">
        <is>
          <t>About VND 9.0 million</t>
        </is>
      </c>
      <c r="D22" s="54" t="inlineStr">
        <is>
          <t>Q2 2026</t>
        </is>
      </c>
      <c r="E22" s="54" t="inlineStr">
        <is>
          <t>National Statistics Office</t>
        </is>
      </c>
    </row>
    <row r="23">
      <c r="A23" s="52" t="inlineStr">
        <is>
          <t>Macro</t>
        </is>
      </c>
      <c r="B23" s="52" t="inlineStr">
        <is>
          <t>New enterprises registered</t>
        </is>
      </c>
      <c r="C23" s="52" t="inlineStr">
        <is>
          <t>111.7 thousand, +22.5%</t>
        </is>
      </c>
      <c r="D23" s="52" t="inlineStr">
        <is>
          <t>H1 2026</t>
        </is>
      </c>
      <c r="E23" s="52" t="inlineStr">
        <is>
          <t>National Statistics Office</t>
        </is>
      </c>
    </row>
    <row r="24">
      <c r="A24" s="54" t="inlineStr">
        <is>
          <t>Macro</t>
        </is>
      </c>
      <c r="B24" s="54" t="inlineStr">
        <is>
          <t>Enterprises dissolved</t>
        </is>
      </c>
      <c r="C24" s="54" t="inlineStr">
        <is>
          <t>About 24.0 thousand, +94.7%</t>
        </is>
      </c>
      <c r="D24" s="54" t="inlineStr">
        <is>
          <t>H1 2026</t>
        </is>
      </c>
      <c r="E24" s="54" t="inlineStr">
        <is>
          <t>National Statistics Office</t>
        </is>
      </c>
    </row>
    <row r="25">
      <c r="A25" s="52" t="inlineStr">
        <is>
          <t>Macro</t>
        </is>
      </c>
      <c r="B25" s="52" t="inlineStr">
        <is>
          <t>Exchange rate</t>
        </is>
      </c>
      <c r="C25" s="52" t="inlineStr">
        <is>
          <t>About VND 26,000 to 26,300 per USD</t>
        </is>
      </c>
      <c r="D25" s="52" t="inlineStr">
        <is>
          <t>2026</t>
        </is>
      </c>
      <c r="E25" s="52" t="inlineStr">
        <is>
          <t>UOB projections, market data</t>
        </is>
      </c>
    </row>
    <row r="26">
      <c r="A26" s="68" t="inlineStr">
        <is>
          <t>Banking</t>
        </is>
      </c>
      <c r="B26" s="68" t="inlineStr">
        <is>
          <t>Listed bank total assets</t>
        </is>
      </c>
      <c r="C26" s="68" t="inlineStr">
        <is>
          <t>Over VND 21 quadrillion, +23%</t>
        </is>
      </c>
      <c r="D26" s="68" t="inlineStr">
        <is>
          <t>End-2025</t>
        </is>
      </c>
      <c r="E26" s="68" t="inlineStr">
        <is>
          <t>Listed bank filings</t>
        </is>
      </c>
    </row>
    <row r="27">
      <c r="A27" s="52" t="inlineStr">
        <is>
          <t>Banking</t>
        </is>
      </c>
      <c r="B27" s="52" t="inlineStr">
        <is>
          <t>Sector total assets including Agribank</t>
        </is>
      </c>
      <c r="C27" s="52" t="inlineStr">
        <is>
          <t>Roughly VND 24 quadrillion</t>
        </is>
      </c>
      <c r="D27" s="52" t="inlineStr">
        <is>
          <t>End-2025</t>
        </is>
      </c>
      <c r="E27" s="52" t="inlineStr">
        <is>
          <t>Derived from bank filings</t>
        </is>
      </c>
    </row>
    <row r="28">
      <c r="A28" s="54" t="inlineStr">
        <is>
          <t>Banking</t>
        </is>
      </c>
      <c r="B28" s="54" t="inlineStr">
        <is>
          <t>Credit growth</t>
        </is>
      </c>
      <c r="C28" s="54" t="inlineStr">
        <is>
          <t>About 19%</t>
        </is>
      </c>
      <c r="D28" s="54" t="inlineStr">
        <is>
          <t>FY2025</t>
        </is>
      </c>
      <c r="E28" s="54" t="inlineStr">
        <is>
          <t>SBV, FiinRatings</t>
        </is>
      </c>
    </row>
    <row r="29">
      <c r="A29" s="52" t="inlineStr">
        <is>
          <t>Banking</t>
        </is>
      </c>
      <c r="B29" s="52" t="inlineStr">
        <is>
          <t>Deposit growth</t>
        </is>
      </c>
      <c r="C29" s="52" t="inlineStr">
        <is>
          <t>11.4%</t>
        </is>
      </c>
      <c r="D29" s="52" t="inlineStr">
        <is>
          <t>FY2025</t>
        </is>
      </c>
      <c r="E29" s="52" t="inlineStr">
        <is>
          <t>FiinRatings</t>
        </is>
      </c>
    </row>
    <row r="30">
      <c r="A30" s="54" t="inlineStr">
        <is>
          <t>Banking</t>
        </is>
      </c>
      <c r="B30" s="54" t="inlineStr">
        <is>
          <t>Credit to GDP</t>
        </is>
      </c>
      <c r="C30" s="54" t="inlineStr">
        <is>
          <t>Above 140%</t>
        </is>
      </c>
      <c r="D30" s="54" t="inlineStr">
        <is>
          <t>2025</t>
        </is>
      </c>
      <c r="E30" s="54" t="inlineStr">
        <is>
          <t>FiinRatings</t>
        </is>
      </c>
    </row>
    <row r="31">
      <c r="A31" s="52" t="inlineStr">
        <is>
          <t>Banking</t>
        </is>
      </c>
      <c r="B31" s="52" t="inlineStr">
        <is>
          <t>Net interest margin, sector</t>
        </is>
      </c>
      <c r="C31" s="52" t="inlineStr">
        <is>
          <t>2.9%</t>
        </is>
      </c>
      <c r="D31" s="52" t="inlineStr">
        <is>
          <t>FY2025</t>
        </is>
      </c>
      <c r="E31" s="52" t="inlineStr">
        <is>
          <t>FiinRatings</t>
        </is>
      </c>
    </row>
    <row r="32">
      <c r="A32" s="54" t="inlineStr">
        <is>
          <t>Banking</t>
        </is>
      </c>
      <c r="B32" s="54" t="inlineStr">
        <is>
          <t>Net interest margin, forecast</t>
        </is>
      </c>
      <c r="C32" s="54" t="inlineStr">
        <is>
          <t>Below 3.0%</t>
        </is>
      </c>
      <c r="D32" s="54" t="inlineStr">
        <is>
          <t>FY2026</t>
        </is>
      </c>
      <c r="E32" s="54" t="inlineStr">
        <is>
          <t>FiinRatings</t>
        </is>
      </c>
    </row>
    <row r="33">
      <c r="A33" s="52" t="inlineStr">
        <is>
          <t>Banking</t>
        </is>
      </c>
      <c r="B33" s="52" t="inlineStr">
        <is>
          <t>NIM, state-owned banks</t>
        </is>
      </c>
      <c r="C33" s="52" t="inlineStr">
        <is>
          <t>2.6%</t>
        </is>
      </c>
      <c r="D33" s="52" t="inlineStr">
        <is>
          <t>FY2025</t>
        </is>
      </c>
      <c r="E33" s="52" t="inlineStr">
        <is>
          <t>FiinRatings</t>
        </is>
      </c>
    </row>
    <row r="34">
      <c r="A34" s="54" t="inlineStr">
        <is>
          <t>Banking</t>
        </is>
      </c>
      <c r="B34" s="54" t="inlineStr">
        <is>
          <t>NIM, top four private banks</t>
        </is>
      </c>
      <c r="C34" s="54" t="inlineStr">
        <is>
          <t>3.9%</t>
        </is>
      </c>
      <c r="D34" s="54" t="inlineStr">
        <is>
          <t>FY2025</t>
        </is>
      </c>
      <c r="E34" s="54" t="inlineStr">
        <is>
          <t>FiinRatings</t>
        </is>
      </c>
    </row>
    <row r="35">
      <c r="A35" s="52" t="inlineStr">
        <is>
          <t>Banking</t>
        </is>
      </c>
      <c r="B35" s="52" t="inlineStr">
        <is>
          <t>NIM, other private banks</t>
        </is>
      </c>
      <c r="C35" s="52" t="inlineStr">
        <is>
          <t>2.7%</t>
        </is>
      </c>
      <c r="D35" s="52" t="inlineStr">
        <is>
          <t>FY2025</t>
        </is>
      </c>
      <c r="E35" s="52" t="inlineStr">
        <is>
          <t>FiinRatings</t>
        </is>
      </c>
    </row>
    <row r="36">
      <c r="A36" s="54" t="inlineStr">
        <is>
          <t>Banking</t>
        </is>
      </c>
      <c r="B36" s="54" t="inlineStr">
        <is>
          <t>Non-performing loan ratio</t>
        </is>
      </c>
      <c r="C36" s="54" t="inlineStr">
        <is>
          <t>About 1.9%</t>
        </is>
      </c>
      <c r="D36" s="54" t="inlineStr">
        <is>
          <t>FY2025</t>
        </is>
      </c>
      <c r="E36" s="54" t="inlineStr">
        <is>
          <t>FiinRatings</t>
        </is>
      </c>
    </row>
    <row r="37">
      <c r="A37" s="52" t="inlineStr">
        <is>
          <t>Banking</t>
        </is>
      </c>
      <c r="B37" s="52" t="inlineStr">
        <is>
          <t>Special mention loans</t>
        </is>
      </c>
      <c r="C37" s="52" t="inlineStr">
        <is>
          <t>1.2%</t>
        </is>
      </c>
      <c r="D37" s="52" t="inlineStr">
        <is>
          <t>FY2025</t>
        </is>
      </c>
      <c r="E37" s="52" t="inlineStr">
        <is>
          <t>FiinRatings</t>
        </is>
      </c>
    </row>
    <row r="38">
      <c r="A38" s="54" t="inlineStr">
        <is>
          <t>Banking</t>
        </is>
      </c>
      <c r="B38" s="54" t="inlineStr">
        <is>
          <t>Net write-offs</t>
        </is>
      </c>
      <c r="C38" s="54" t="inlineStr">
        <is>
          <t>1.3% of average gross loans</t>
        </is>
      </c>
      <c r="D38" s="54" t="inlineStr">
        <is>
          <t>FY2025</t>
        </is>
      </c>
      <c r="E38" s="54" t="inlineStr">
        <is>
          <t>FiinRatings</t>
        </is>
      </c>
    </row>
    <row r="39">
      <c r="A39" s="52" t="inlineStr">
        <is>
          <t>Banking</t>
        </is>
      </c>
      <c r="B39" s="52" t="inlineStr">
        <is>
          <t>Return on assets</t>
        </is>
      </c>
      <c r="C39" s="52" t="inlineStr">
        <is>
          <t>About 1.4%</t>
        </is>
      </c>
      <c r="D39" s="52" t="inlineStr">
        <is>
          <t>FY2025</t>
        </is>
      </c>
      <c r="E39" s="52" t="inlineStr">
        <is>
          <t>FiinRatings</t>
        </is>
      </c>
    </row>
    <row r="40">
      <c r="A40" s="54" t="inlineStr">
        <is>
          <t>Banking</t>
        </is>
      </c>
      <c r="B40" s="54" t="inlineStr">
        <is>
          <t>Sector return on equity</t>
        </is>
      </c>
      <c r="C40" s="54" t="inlineStr">
        <is>
          <t>17 to 18%</t>
        </is>
      </c>
      <c r="D40" s="54" t="inlineStr">
        <is>
          <t>FY2025</t>
        </is>
      </c>
      <c r="E40" s="54" t="inlineStr">
        <is>
          <t>Market data</t>
        </is>
      </c>
    </row>
    <row r="41">
      <c r="A41" s="52" t="inlineStr">
        <is>
          <t>Banking</t>
        </is>
      </c>
      <c r="B41" s="52" t="inlineStr">
        <is>
          <t>Cost to income, median</t>
        </is>
      </c>
      <c r="C41" s="52" t="inlineStr">
        <is>
          <t>51.0%</t>
        </is>
      </c>
      <c r="D41" s="52" t="inlineStr">
        <is>
          <t>FY2025</t>
        </is>
      </c>
      <c r="E41" s="52" t="inlineStr">
        <is>
          <t>FiinRatings</t>
        </is>
      </c>
    </row>
    <row r="42">
      <c r="A42" s="54" t="inlineStr">
        <is>
          <t>Banking</t>
        </is>
      </c>
      <c r="B42" s="54" t="inlineStr">
        <is>
          <t>Capital adequacy, median</t>
        </is>
      </c>
      <c r="C42" s="54" t="inlineStr">
        <is>
          <t>11.9%</t>
        </is>
      </c>
      <c r="D42" s="54" t="inlineStr">
        <is>
          <t>H1 2025</t>
        </is>
      </c>
      <c r="E42" s="54" t="inlineStr">
        <is>
          <t>FiinRatings</t>
        </is>
      </c>
    </row>
    <row r="43">
      <c r="A43" s="52" t="inlineStr">
        <is>
          <t>Banking</t>
        </is>
      </c>
      <c r="B43" s="52" t="inlineStr">
        <is>
          <t>Loan to deposit, state-owned</t>
        </is>
      </c>
      <c r="C43" s="52" t="inlineStr">
        <is>
          <t>78.3%</t>
        </is>
      </c>
      <c r="D43" s="52" t="inlineStr">
        <is>
          <t>FY2025</t>
        </is>
      </c>
      <c r="E43" s="52" t="inlineStr">
        <is>
          <t>FiinRatings</t>
        </is>
      </c>
    </row>
    <row r="44">
      <c r="A44" s="54" t="inlineStr">
        <is>
          <t>Banking</t>
        </is>
      </c>
      <c r="B44" s="54" t="inlineStr">
        <is>
          <t>Loan to deposit, top four private</t>
        </is>
      </c>
      <c r="C44" s="54" t="inlineStr">
        <is>
          <t>82.8%</t>
        </is>
      </c>
      <c r="D44" s="54" t="inlineStr">
        <is>
          <t>FY2025</t>
        </is>
      </c>
      <c r="E44" s="54" t="inlineStr">
        <is>
          <t>FiinRatings</t>
        </is>
      </c>
    </row>
    <row r="45">
      <c r="A45" s="52" t="inlineStr">
        <is>
          <t>Banking</t>
        </is>
      </c>
      <c r="B45" s="52" t="inlineStr">
        <is>
          <t>Loan to deposit, other private</t>
        </is>
      </c>
      <c r="C45" s="52" t="inlineStr">
        <is>
          <t>71.1%</t>
        </is>
      </c>
      <c r="D45" s="52" t="inlineStr">
        <is>
          <t>FY2025</t>
        </is>
      </c>
      <c r="E45" s="52" t="inlineStr">
        <is>
          <t>FiinRatings</t>
        </is>
      </c>
    </row>
    <row r="46">
      <c r="A46" s="54" t="inlineStr">
        <is>
          <t>Banking</t>
        </is>
      </c>
      <c r="B46" s="54" t="inlineStr">
        <is>
          <t>Non-interest income share</t>
        </is>
      </c>
      <c r="C46" s="54" t="inlineStr">
        <is>
          <t>23.8% of total operating income</t>
        </is>
      </c>
      <c r="D46" s="54" t="inlineStr">
        <is>
          <t>FY2025</t>
        </is>
      </c>
      <c r="E46" s="54" t="inlineStr">
        <is>
          <t>FiinRatings</t>
        </is>
      </c>
    </row>
    <row r="47">
      <c r="A47" s="52" t="inlineStr">
        <is>
          <t>Banking</t>
        </is>
      </c>
      <c r="B47" s="52" t="inlineStr">
        <is>
          <t>Lending mix</t>
        </is>
      </c>
      <c r="C47" s="52" t="inlineStr">
        <is>
          <t>Corporate 54%, retail 46%</t>
        </is>
      </c>
      <c r="D47" s="52" t="inlineStr">
        <is>
          <t>FY2025</t>
        </is>
      </c>
      <c r="E47" s="52" t="inlineStr">
        <is>
          <t>FiinRatings</t>
        </is>
      </c>
    </row>
    <row r="48">
      <c r="A48" s="54" t="inlineStr">
        <is>
          <t>Banking</t>
        </is>
      </c>
      <c r="B48" s="54" t="inlineStr">
        <is>
          <t>Real estate and construction loans</t>
        </is>
      </c>
      <c r="C48" s="54" t="inlineStr">
        <is>
          <t>24.6% of total</t>
        </is>
      </c>
      <c r="D48" s="54" t="inlineStr">
        <is>
          <t>FY2025</t>
        </is>
      </c>
      <c r="E48" s="54" t="inlineStr">
        <is>
          <t>FiinRatings</t>
        </is>
      </c>
    </row>
    <row r="49">
      <c r="A49" s="52" t="inlineStr">
        <is>
          <t>Banking</t>
        </is>
      </c>
      <c r="B49" s="52" t="inlineStr">
        <is>
          <t>Twelve-month deposit rates</t>
        </is>
      </c>
      <c r="C49" s="52" t="inlineStr">
        <is>
          <t>About 7%, some banks above 8%</t>
        </is>
      </c>
      <c r="D49" s="52" t="inlineStr">
        <is>
          <t>March 2026</t>
        </is>
      </c>
      <c r="E49" s="52" t="inlineStr">
        <is>
          <t>VinaCapital</t>
        </is>
      </c>
    </row>
    <row r="50">
      <c r="A50" s="54" t="inlineStr">
        <is>
          <t>Banking</t>
        </is>
      </c>
      <c r="B50" s="54" t="inlineStr">
        <is>
          <t>Listed banks with assets above VND 1 quadrillion</t>
        </is>
      </c>
      <c r="C50" s="54" t="inlineStr">
        <is>
          <t>Six: BIDV, VietinBank, Vietcombank, MB, VPBank, Techcombank</t>
        </is>
      </c>
      <c r="D50" s="54" t="inlineStr">
        <is>
          <t>End-2025</t>
        </is>
      </c>
      <c r="E50" s="54" t="inlineStr">
        <is>
          <t>Bank filings</t>
        </is>
      </c>
    </row>
    <row r="51">
      <c r="A51" s="52" t="inlineStr">
        <is>
          <t>Banking</t>
        </is>
      </c>
      <c r="B51" s="52" t="inlineStr">
        <is>
          <t>BIDV total assets</t>
        </is>
      </c>
      <c r="C51" s="52" t="inlineStr">
        <is>
          <t>About VND 3.3 quadrillion, +21%</t>
        </is>
      </c>
      <c r="D51" s="52" t="inlineStr">
        <is>
          <t>End-2025</t>
        </is>
      </c>
      <c r="E51" s="52" t="inlineStr">
        <is>
          <t>Bank filings</t>
        </is>
      </c>
    </row>
    <row r="52">
      <c r="A52" s="54" t="inlineStr">
        <is>
          <t>Banking</t>
        </is>
      </c>
      <c r="B52" s="54" t="inlineStr">
        <is>
          <t>VietinBank total assets</t>
        </is>
      </c>
      <c r="C52" s="54" t="inlineStr">
        <is>
          <t>About VND 2.7 quadrillion, +16%</t>
        </is>
      </c>
      <c r="D52" s="54" t="inlineStr">
        <is>
          <t>End-2025</t>
        </is>
      </c>
      <c r="E52" s="54" t="inlineStr">
        <is>
          <t>Bank filings</t>
        </is>
      </c>
    </row>
    <row r="53">
      <c r="A53" s="52" t="inlineStr">
        <is>
          <t>Banking</t>
        </is>
      </c>
      <c r="B53" s="52" t="inlineStr">
        <is>
          <t>Vietcombank total assets</t>
        </is>
      </c>
      <c r="C53" s="52" t="inlineStr">
        <is>
          <t>About VND 2.4 quadrillion, +17%</t>
        </is>
      </c>
      <c r="D53" s="52" t="inlineStr">
        <is>
          <t>End-2025</t>
        </is>
      </c>
      <c r="E53" s="52" t="inlineStr">
        <is>
          <t>Bank filings</t>
        </is>
      </c>
    </row>
    <row r="54">
      <c r="A54" s="54" t="inlineStr">
        <is>
          <t>Banking</t>
        </is>
      </c>
      <c r="B54" s="54" t="inlineStr">
        <is>
          <t>VPBank total assets</t>
        </is>
      </c>
      <c r="C54" s="54" t="inlineStr">
        <is>
          <t>About VND 1.3 quadrillion, +36%</t>
        </is>
      </c>
      <c r="D54" s="54" t="inlineStr">
        <is>
          <t>End-2025</t>
        </is>
      </c>
      <c r="E54" s="54" t="inlineStr">
        <is>
          <t>Bank filings</t>
        </is>
      </c>
    </row>
    <row r="55">
      <c r="A55" s="52" t="inlineStr">
        <is>
          <t>Banking</t>
        </is>
      </c>
      <c r="B55" s="52" t="inlineStr">
        <is>
          <t>Techcombank total assets</t>
        </is>
      </c>
      <c r="C55" s="52" t="inlineStr">
        <is>
          <t>About VND 1.2 quadrillion, +22%</t>
        </is>
      </c>
      <c r="D55" s="52" t="inlineStr">
        <is>
          <t>End-2025</t>
        </is>
      </c>
      <c r="E55" s="52" t="inlineStr">
        <is>
          <t>Bank filings</t>
        </is>
      </c>
    </row>
    <row r="56">
      <c r="A56" s="54" t="inlineStr">
        <is>
          <t>Banking</t>
        </is>
      </c>
      <c r="B56" s="54" t="inlineStr">
        <is>
          <t>MB total assets</t>
        </is>
      </c>
      <c r="C56" s="54" t="inlineStr">
        <is>
          <t>Above VND 1,600 trillion, +43% y/y</t>
        </is>
      </c>
      <c r="D56" s="54" t="inlineStr">
        <is>
          <t>End-2025</t>
        </is>
      </c>
      <c r="E56" s="54" t="inlineStr">
        <is>
          <t>MB 2026 plan</t>
        </is>
      </c>
    </row>
    <row r="57">
      <c r="A57" s="52" t="inlineStr">
        <is>
          <t>Banking</t>
        </is>
      </c>
      <c r="B57" s="52" t="inlineStr">
        <is>
          <t>MB pre-tax profit</t>
        </is>
      </c>
      <c r="C57" s="52" t="inlineStr">
        <is>
          <t>VND 34,268 billion, +18.9%</t>
        </is>
      </c>
      <c r="D57" s="52" t="inlineStr">
        <is>
          <t>FY2025</t>
        </is>
      </c>
      <c r="E57" s="52" t="inlineStr">
        <is>
          <t>MB 2026 plan</t>
        </is>
      </c>
    </row>
    <row r="58">
      <c r="A58" s="54" t="inlineStr">
        <is>
          <t>Banking</t>
        </is>
      </c>
      <c r="B58" s="54" t="inlineStr">
        <is>
          <t>MB outstanding loans</t>
        </is>
      </c>
      <c r="C58" s="54" t="inlineStr">
        <is>
          <t>Above VND 1,000 trillion, +37%</t>
        </is>
      </c>
      <c r="D58" s="54" t="inlineStr">
        <is>
          <t>FY2025</t>
        </is>
      </c>
      <c r="E58" s="54" t="inlineStr">
        <is>
          <t>MB 2026 plan</t>
        </is>
      </c>
    </row>
    <row r="59">
      <c r="A59" s="52" t="inlineStr">
        <is>
          <t>Banking</t>
        </is>
      </c>
      <c r="B59" s="52" t="inlineStr">
        <is>
          <t>MB customers</t>
        </is>
      </c>
      <c r="C59" s="52" t="inlineStr">
        <is>
          <t>35 million, target 40 million</t>
        </is>
      </c>
      <c r="D59" s="52" t="inlineStr">
        <is>
          <t>2025 to 2026</t>
        </is>
      </c>
      <c r="E59" s="52" t="inlineStr">
        <is>
          <t>MB 2026 plan</t>
        </is>
      </c>
    </row>
    <row r="60">
      <c r="A60" s="54" t="inlineStr">
        <is>
          <t>Banking</t>
        </is>
      </c>
      <c r="B60" s="54" t="inlineStr">
        <is>
          <t>MBBank app users</t>
        </is>
      </c>
      <c r="C60" s="54" t="inlineStr">
        <is>
          <t>35 million, largest in Vietnam</t>
        </is>
      </c>
      <c r="D60" s="54" t="inlineStr">
        <is>
          <t>2025</t>
        </is>
      </c>
      <c r="E60" s="54" t="inlineStr">
        <is>
          <t>MB 2026 plan</t>
        </is>
      </c>
    </row>
    <row r="61">
      <c r="A61" s="52" t="inlineStr">
        <is>
          <t>Banking</t>
        </is>
      </c>
      <c r="B61" s="52" t="inlineStr">
        <is>
          <t>BIZ MBBank business users</t>
        </is>
      </c>
      <c r="C61" s="52" t="inlineStr">
        <is>
          <t>More than 358,000</t>
        </is>
      </c>
      <c r="D61" s="52" t="inlineStr">
        <is>
          <t>2025</t>
        </is>
      </c>
      <c r="E61" s="52" t="inlineStr">
        <is>
          <t>MB 2026 plan</t>
        </is>
      </c>
    </row>
    <row r="62">
      <c r="A62" s="54" t="inlineStr">
        <is>
          <t>Banking</t>
        </is>
      </c>
      <c r="B62" s="54" t="inlineStr">
        <is>
          <t>MB 2026 targets</t>
        </is>
      </c>
      <c r="C62" s="54" t="inlineStr">
        <is>
          <t>Credit and deposit growth 30-35%, profit +15%, ROE above 20%, NPL below 1%, CASA about 36%</t>
        </is>
      </c>
      <c r="D62" s="54" t="inlineStr">
        <is>
          <t>FY2026</t>
        </is>
      </c>
      <c r="E62" s="54" t="inlineStr">
        <is>
          <t>MB 2026 plan</t>
        </is>
      </c>
    </row>
    <row r="63">
      <c r="A63" s="52" t="inlineStr">
        <is>
          <t>Banking</t>
        </is>
      </c>
      <c r="B63" s="52" t="inlineStr">
        <is>
          <t>MB loan to deposit ratio</t>
        </is>
      </c>
      <c r="C63" s="52" t="inlineStr">
        <is>
          <t>About 79%</t>
        </is>
      </c>
      <c r="D63" s="52" t="inlineStr">
        <is>
          <t>2026</t>
        </is>
      </c>
      <c r="E63" s="52" t="inlineStr">
        <is>
          <t>FiinRatings, press</t>
        </is>
      </c>
    </row>
    <row r="64">
      <c r="A64" s="54" t="inlineStr">
        <is>
          <t>Banking</t>
        </is>
      </c>
      <c r="B64" s="54" t="inlineStr">
        <is>
          <t>SMBC stake in VPBank</t>
        </is>
      </c>
      <c r="C64" s="54" t="inlineStr">
        <is>
          <t>15%, acquired for USD 1.5 billion</t>
        </is>
      </c>
      <c r="D64" s="54" t="inlineStr">
        <is>
          <t>Completed 2023</t>
        </is>
      </c>
      <c r="E64" s="54" t="inlineStr">
        <is>
          <t>VPBank, SMBC</t>
        </is>
      </c>
    </row>
    <row r="65">
      <c r="A65" s="52" t="inlineStr">
        <is>
          <t>Banking</t>
        </is>
      </c>
      <c r="B65" s="52" t="inlineStr">
        <is>
          <t>Techcombank retail credit</t>
        </is>
      </c>
      <c r="C65" s="52" t="inlineStr">
        <is>
          <t>VND 372.0 trillion, +30.8%</t>
        </is>
      </c>
      <c r="D65" s="52" t="inlineStr">
        <is>
          <t>FY2025</t>
        </is>
      </c>
      <c r="E65" s="52" t="inlineStr">
        <is>
          <t>Techcombank FY25 press release</t>
        </is>
      </c>
    </row>
    <row r="66">
      <c r="A66" s="54" t="inlineStr">
        <is>
          <t>Banking</t>
        </is>
      </c>
      <c r="B66" s="54" t="inlineStr">
        <is>
          <t>Techcombank corporate credit</t>
        </is>
      </c>
      <c r="C66" s="54" t="inlineStr">
        <is>
          <t>VND 452.1 trillion, +13.4%</t>
        </is>
      </c>
      <c r="D66" s="54" t="inlineStr">
        <is>
          <t>FY2025</t>
        </is>
      </c>
      <c r="E66" s="54" t="inlineStr">
        <is>
          <t>Techcombank FY25 press release</t>
        </is>
      </c>
    </row>
    <row r="67">
      <c r="A67" s="52" t="inlineStr">
        <is>
          <t>Banking</t>
        </is>
      </c>
      <c r="B67" s="52" t="inlineStr">
        <is>
          <t>Techcombank customer deposits</t>
        </is>
      </c>
      <c r="C67" s="52" t="inlineStr">
        <is>
          <t>VND 665.6 trillion, CASA balance VND 268.7 trillion, CASA ratio 40.4%</t>
        </is>
      </c>
      <c r="D67" s="52" t="inlineStr">
        <is>
          <t>FY2025</t>
        </is>
      </c>
      <c r="E67" s="52" t="inlineStr">
        <is>
          <t>Techcombank FY25 press release</t>
        </is>
      </c>
    </row>
    <row r="68">
      <c r="A68" s="54" t="inlineStr">
        <is>
          <t>Banking</t>
        </is>
      </c>
      <c r="B68" s="54" t="inlineStr">
        <is>
          <t>Techcombank profitability</t>
        </is>
      </c>
      <c r="C68" s="54" t="inlineStr">
        <is>
          <t>ROE 16.0% LTM, ROA 2.4%, CIR 30.8%, NIM 3.8% LTM, NPL 1.13%, CAR 14.6%</t>
        </is>
      </c>
      <c r="D68" s="54" t="inlineStr">
        <is>
          <t>FY2025</t>
        </is>
      </c>
      <c r="E68" s="54" t="inlineStr">
        <is>
          <t>Techcombank FY25 press release</t>
        </is>
      </c>
    </row>
    <row r="69">
      <c r="A69" s="52" t="inlineStr">
        <is>
          <t>Banking</t>
        </is>
      </c>
      <c r="B69" s="52" t="inlineStr">
        <is>
          <t>Listed commercial banks</t>
        </is>
      </c>
      <c r="C69" s="52" t="inlineStr">
        <is>
          <t>27</t>
        </is>
      </c>
      <c r="D69" s="52" t="inlineStr">
        <is>
          <t>H1 2026</t>
        </is>
      </c>
      <c r="E69" s="52" t="inlineStr">
        <is>
          <t>Vietnamese financial press</t>
        </is>
      </c>
    </row>
    <row r="70">
      <c r="A70" s="54" t="inlineStr">
        <is>
          <t>Banking</t>
        </is>
      </c>
      <c r="B70" s="54" t="inlineStr">
        <is>
          <t>SMBC Consumer Finance stake in FE Credit</t>
        </is>
      </c>
      <c r="C70" s="54" t="inlineStr">
        <is>
          <t>49%</t>
        </is>
      </c>
      <c r="D70" s="54" t="inlineStr">
        <is>
          <t>2021</t>
        </is>
      </c>
      <c r="E70" s="54" t="inlineStr">
        <is>
          <t>VPBank, SMBC</t>
        </is>
      </c>
    </row>
    <row r="71">
      <c r="A71" s="52" t="inlineStr">
        <is>
          <t>Banking</t>
        </is>
      </c>
      <c r="B71" s="52" t="inlineStr">
        <is>
          <t>Cake by VPBank customers</t>
        </is>
      </c>
      <c r="C71" s="52" t="inlineStr">
        <is>
          <t>About 6.2 million in 2025; company claims over 7 million by 2026</t>
        </is>
      </c>
      <c r="D71" s="52" t="inlineStr">
        <is>
          <t>2025 to 2026</t>
        </is>
      </c>
      <c r="E71" s="52" t="inlineStr">
        <is>
          <t>Company statements</t>
        </is>
      </c>
    </row>
    <row r="72">
      <c r="A72" s="54" t="inlineStr">
        <is>
          <t>Banking</t>
        </is>
      </c>
      <c r="B72" s="54" t="inlineStr">
        <is>
          <t>Cake profitability</t>
        </is>
      </c>
      <c r="C72" s="54" t="inlineStr">
        <is>
          <t>EBITDA-positive from Q3 2024. Company-reported, no audited standalone accounts</t>
        </is>
      </c>
      <c r="D72" s="54" t="inlineStr">
        <is>
          <t>2024</t>
        </is>
      </c>
      <c r="E72" s="54" t="inlineStr">
        <is>
          <t>Company statements</t>
        </is>
      </c>
    </row>
    <row r="73">
      <c r="A73" s="52" t="inlineStr">
        <is>
          <t>Banking</t>
        </is>
      </c>
      <c r="B73" s="52" t="inlineStr">
        <is>
          <t>Cake average revenue per user</t>
        </is>
      </c>
      <c r="C73" s="52" t="inlineStr">
        <is>
          <t>USD 25 in 2025, projected USD 44 in 2026. Company-reported, unaudited</t>
        </is>
      </c>
      <c r="D73" s="52" t="inlineStr">
        <is>
          <t>2025 to 2026</t>
        </is>
      </c>
      <c r="E73" s="52" t="inlineStr">
        <is>
          <t>Company statements</t>
        </is>
      </c>
    </row>
    <row r="74">
      <c r="A74" s="68" t="inlineStr">
        <is>
          <t>Payments</t>
        </is>
      </c>
      <c r="B74" s="68" t="inlineStr">
        <is>
          <t>Non-cash transactions</t>
        </is>
      </c>
      <c r="C74" s="68" t="inlineStr">
        <is>
          <t>Over 15 billion transactions, over VND 190 quadrillion, volume +34.28%, value +12.24%</t>
        </is>
      </c>
      <c r="D74" s="68" t="inlineStr">
        <is>
          <t>H1 2026</t>
        </is>
      </c>
      <c r="E74" s="68" t="inlineStr">
        <is>
          <t>State Bank of Vietnam</t>
        </is>
      </c>
    </row>
    <row r="75">
      <c r="A75" s="52" t="inlineStr">
        <is>
          <t>Payments</t>
        </is>
      </c>
      <c r="B75" s="52" t="inlineStr">
        <is>
          <t>Non-cash payment value per day</t>
        </is>
      </c>
      <c r="C75" s="52" t="inlineStr">
        <is>
          <t>About VND 1.05 quadrillion, roughly USD 40 billion</t>
        </is>
      </c>
      <c r="D75" s="52" t="inlineStr">
        <is>
          <t>H1 2026</t>
        </is>
      </c>
      <c r="E75" s="52" t="inlineStr">
        <is>
          <t>State Bank of Vietnam</t>
        </is>
      </c>
    </row>
    <row r="76">
      <c r="A76" s="54" t="inlineStr">
        <is>
          <t>Payments</t>
        </is>
      </c>
      <c r="B76" s="54" t="inlineStr">
        <is>
          <t>Non-cash transactions</t>
        </is>
      </c>
      <c r="C76" s="54" t="inlineStr">
        <is>
          <t>Volume +43.3%, value +24.2%</t>
        </is>
      </c>
      <c r="D76" s="54" t="inlineStr">
        <is>
          <t>9M 2025</t>
        </is>
      </c>
      <c r="E76" s="54" t="inlineStr">
        <is>
          <t>State Bank of Vietnam</t>
        </is>
      </c>
    </row>
    <row r="77">
      <c r="A77" s="52" t="inlineStr">
        <is>
          <t>Payments</t>
        </is>
      </c>
      <c r="B77" s="52" t="inlineStr">
        <is>
          <t>QR code payments</t>
        </is>
      </c>
      <c r="C77" s="52" t="inlineStr">
        <is>
          <t>Volume +61.6%, value +150.7%</t>
        </is>
      </c>
      <c r="D77" s="52" t="inlineStr">
        <is>
          <t>9M 2025</t>
        </is>
      </c>
      <c r="E77" s="52" t="inlineStr">
        <is>
          <t>State Bank of Vietnam</t>
        </is>
      </c>
    </row>
    <row r="78">
      <c r="A78" s="54" t="inlineStr">
        <is>
          <t>Payments</t>
        </is>
      </c>
      <c r="B78" s="54" t="inlineStr">
        <is>
          <t>Internet banking</t>
        </is>
      </c>
      <c r="C78" s="54" t="inlineStr">
        <is>
          <t>Volume +51.2%, value +37.2%</t>
        </is>
      </c>
      <c r="D78" s="54" t="inlineStr">
        <is>
          <t>9M 2025</t>
        </is>
      </c>
      <c r="E78" s="54" t="inlineStr">
        <is>
          <t>State Bank of Vietnam</t>
        </is>
      </c>
    </row>
    <row r="79">
      <c r="A79" s="52" t="inlineStr">
        <is>
          <t>Payments</t>
        </is>
      </c>
      <c r="B79" s="52" t="inlineStr">
        <is>
          <t>Mobile banking</t>
        </is>
      </c>
      <c r="C79" s="52" t="inlineStr">
        <is>
          <t>Volume +37.4%, value +21.8%</t>
        </is>
      </c>
      <c r="D79" s="52" t="inlineStr">
        <is>
          <t>9M 2025</t>
        </is>
      </c>
      <c r="E79" s="52" t="inlineStr">
        <is>
          <t>State Bank of Vietnam</t>
        </is>
      </c>
    </row>
    <row r="80">
      <c r="A80" s="54" t="inlineStr">
        <is>
          <t>Payments</t>
        </is>
      </c>
      <c r="B80" s="54" t="inlineStr">
        <is>
          <t>ATM transactions</t>
        </is>
      </c>
      <c r="C80" s="54" t="inlineStr">
        <is>
          <t>Volume -16.77%, value -5.74%</t>
        </is>
      </c>
      <c r="D80" s="54" t="inlineStr">
        <is>
          <t>9M 2025</t>
        </is>
      </c>
      <c r="E80" s="54" t="inlineStr">
        <is>
          <t>State Bank of Vietnam</t>
        </is>
      </c>
    </row>
    <row r="81">
      <c r="A81" s="52" t="inlineStr">
        <is>
          <t>Payments</t>
        </is>
      </c>
      <c r="B81" s="52" t="inlineStr">
        <is>
          <t>Mobile Money accounts</t>
        </is>
      </c>
      <c r="C81" s="52" t="inlineStr">
        <is>
          <t>10.89 million, 70% rural</t>
        </is>
      </c>
      <c r="D81" s="52" t="inlineStr">
        <is>
          <t>September 2025</t>
        </is>
      </c>
      <c r="E81" s="52" t="inlineStr">
        <is>
          <t>State Bank of Vietnam</t>
        </is>
      </c>
    </row>
    <row r="82">
      <c r="A82" s="54" t="inlineStr">
        <is>
          <t>Payments</t>
        </is>
      </c>
      <c r="B82" s="54" t="inlineStr">
        <is>
          <t>Individual payment accounts</t>
        </is>
      </c>
      <c r="C82" s="54" t="inlineStr">
        <is>
          <t>About 232 million, +14%</t>
        </is>
      </c>
      <c r="D82" s="54" t="inlineStr">
        <is>
          <t>2025</t>
        </is>
      </c>
      <c r="E82" s="54" t="inlineStr">
        <is>
          <t>State Bank of Vietnam</t>
        </is>
      </c>
    </row>
    <row r="83">
      <c r="A83" s="52" t="inlineStr">
        <is>
          <t>Payments</t>
        </is>
      </c>
      <c r="B83" s="52" t="inlineStr">
        <is>
          <t>Cards in circulation</t>
        </is>
      </c>
      <c r="C83" s="52" t="inlineStr">
        <is>
          <t>Over 164 million</t>
        </is>
      </c>
      <c r="D83" s="52" t="inlineStr">
        <is>
          <t>2025</t>
        </is>
      </c>
      <c r="E83" s="52" t="inlineStr">
        <is>
          <t>State Bank of Vietnam</t>
        </is>
      </c>
    </row>
    <row r="84">
      <c r="A84" s="54" t="inlineStr">
        <is>
          <t>Payments</t>
        </is>
      </c>
      <c r="B84" s="54" t="inlineStr">
        <is>
          <t>Payment account penetration, official</t>
        </is>
      </c>
      <c r="C84" s="54" t="inlineStr">
        <is>
          <t>Over 89% of people aged 15+</t>
        </is>
      </c>
      <c r="D84" s="54" t="inlineStr">
        <is>
          <t>H1 2026</t>
        </is>
      </c>
      <c r="E84" s="54" t="inlineStr">
        <is>
          <t>State Bank of Vietnam</t>
        </is>
      </c>
    </row>
    <row r="85">
      <c r="A85" s="52" t="inlineStr">
        <is>
          <t>Payments</t>
        </is>
      </c>
      <c r="B85" s="52" t="inlineStr">
        <is>
          <t>Account ownership, survey measure</t>
        </is>
      </c>
      <c r="C85" s="52" t="inlineStr">
        <is>
          <t>70.6% of adults aged 15+</t>
        </is>
      </c>
      <c r="D85" s="52" t="inlineStr">
        <is>
          <t>Findex 2024 fieldwork</t>
        </is>
      </c>
      <c r="E85" s="52" t="inlineStr">
        <is>
          <t>World Bank Global Findex</t>
        </is>
      </c>
    </row>
    <row r="86">
      <c r="A86" s="54" t="inlineStr">
        <is>
          <t>Payments</t>
        </is>
      </c>
      <c r="B86" s="54" t="inlineStr">
        <is>
          <t>Biometric verification</t>
        </is>
      </c>
      <c r="C86" s="54" t="inlineStr">
        <is>
          <t>167.8 million individual customer records, 2.78 million institutional records. Counts records, not people</t>
        </is>
      </c>
      <c r="D86" s="54" t="inlineStr">
        <is>
          <t>31 July 2026</t>
        </is>
      </c>
      <c r="E86" s="54" t="inlineStr">
        <is>
          <t>State Bank of Vietnam</t>
        </is>
      </c>
    </row>
    <row r="87">
      <c r="A87" s="52" t="inlineStr">
        <is>
          <t>Payments</t>
        </is>
      </c>
      <c r="B87" s="52" t="inlineStr">
        <is>
          <t>SIMO fraud alerts</t>
        </is>
      </c>
      <c r="C87" s="52" t="inlineStr">
        <is>
          <t>4.6 million customers alerted, 1.5 million transactions abandoned, about VND 5.2 trillion prevented</t>
        </is>
      </c>
      <c r="D87" s="52" t="inlineStr">
        <is>
          <t>July 2026</t>
        </is>
      </c>
      <c r="E87" s="52" t="inlineStr">
        <is>
          <t>State Bank of Vietnam</t>
        </is>
      </c>
    </row>
    <row r="88">
      <c r="A88" s="54" t="inlineStr">
        <is>
          <t>Payments</t>
        </is>
      </c>
      <c r="B88" s="54" t="inlineStr">
        <is>
          <t>Fraud prevention</t>
        </is>
      </c>
      <c r="C88" s="54" t="inlineStr">
        <is>
          <t>440,000+ transactions flagged, VND 1.6tn prevented</t>
        </is>
      </c>
      <c r="D88" s="54" t="inlineStr">
        <is>
          <t>2025</t>
        </is>
      </c>
      <c r="E88" s="54" t="inlineStr">
        <is>
          <t>State Bank of Vietnam</t>
        </is>
      </c>
    </row>
    <row r="89">
      <c r="A89" s="52" t="inlineStr">
        <is>
          <t>Payments</t>
        </is>
      </c>
      <c r="B89" s="52" t="inlineStr">
        <is>
          <t>Licensed providers</t>
        </is>
      </c>
      <c r="C89" s="52" t="inlineStr">
        <is>
          <t>53 payment providers, 49 e-wallet operators</t>
        </is>
      </c>
      <c r="D89" s="52" t="inlineStr">
        <is>
          <t>2025</t>
        </is>
      </c>
      <c r="E89" s="52" t="inlineStr">
        <is>
          <t>State Bank of Vietnam</t>
        </is>
      </c>
    </row>
    <row r="90">
      <c r="A90" s="68" t="inlineStr">
        <is>
          <t>Business</t>
        </is>
      </c>
      <c r="B90" s="68" t="inlineStr">
        <is>
          <t>Active economic establishments</t>
        </is>
      </c>
      <c r="C90" s="68" t="inlineStr">
        <is>
          <t>Nearly 6.3 million, employing over 30.37 million people</t>
        </is>
      </c>
      <c r="D90" s="68" t="inlineStr">
        <is>
          <t>2026 census</t>
        </is>
      </c>
      <c r="E90" s="68" t="inlineStr">
        <is>
          <t>National Statistics Office</t>
        </is>
      </c>
    </row>
    <row r="91">
      <c r="A91" s="52" t="inlineStr">
        <is>
          <t>Business</t>
        </is>
      </c>
      <c r="B91" s="52" t="inlineStr">
        <is>
          <t>Enterprises</t>
        </is>
      </c>
      <c r="C91" s="52" t="inlineStr">
        <is>
          <t>859,048</t>
        </is>
      </c>
      <c r="D91" s="52" t="inlineStr">
        <is>
          <t>2026 census</t>
        </is>
      </c>
      <c r="E91" s="52" t="inlineStr">
        <is>
          <t>National Statistics Office</t>
        </is>
      </c>
    </row>
    <row r="92">
      <c r="A92" s="54" t="inlineStr">
        <is>
          <t>Business</t>
        </is>
      </c>
      <c r="B92" s="54" t="inlineStr">
        <is>
          <t>Cooperatives</t>
        </is>
      </c>
      <c r="C92" s="54" t="inlineStr">
        <is>
          <t>17,145</t>
        </is>
      </c>
      <c r="D92" s="54" t="inlineStr">
        <is>
          <t>2026 census</t>
        </is>
      </c>
      <c r="E92" s="54" t="inlineStr">
        <is>
          <t>National Statistics Office</t>
        </is>
      </c>
    </row>
    <row r="93">
      <c r="A93" s="52" t="inlineStr">
        <is>
          <t>Business</t>
        </is>
      </c>
      <c r="B93" s="52" t="inlineStr">
        <is>
          <t>Individual business households</t>
        </is>
      </c>
      <c r="C93" s="52" t="inlineStr">
        <is>
          <t>5,254,952</t>
        </is>
      </c>
      <c r="D93" s="52" t="inlineStr">
        <is>
          <t>2026 census</t>
        </is>
      </c>
      <c r="E93" s="52" t="inlineStr">
        <is>
          <t>National Statistics Office</t>
        </is>
      </c>
    </row>
    <row r="94">
      <c r="A94" s="54" t="inlineStr">
        <is>
          <t>Business</t>
        </is>
      </c>
      <c r="B94" s="54" t="inlineStr">
        <is>
          <t>Enterprise growth versus 2020</t>
        </is>
      </c>
      <c r="C94" s="54" t="inlineStr">
        <is>
          <t>+25.5%</t>
        </is>
      </c>
      <c r="D94" s="54" t="inlineStr">
        <is>
          <t>2026 census</t>
        </is>
      </c>
      <c r="E94" s="54" t="inlineStr">
        <is>
          <t>National Statistics Office</t>
        </is>
      </c>
    </row>
    <row r="95">
      <c r="A95" s="52" t="inlineStr">
        <is>
          <t>Business</t>
        </is>
      </c>
      <c r="B95" s="52" t="inlineStr">
        <is>
          <t>FDI enterprises</t>
        </is>
      </c>
      <c r="C95" s="52" t="inlineStr">
        <is>
          <t>About 30,000, +34% versus 2020</t>
        </is>
      </c>
      <c r="D95" s="52" t="inlineStr">
        <is>
          <t>2026 census</t>
        </is>
      </c>
      <c r="E95" s="52" t="inlineStr">
        <is>
          <t>National Statistics Office</t>
        </is>
      </c>
    </row>
    <row r="96">
      <c r="A96" s="54" t="inlineStr">
        <is>
          <t>Business</t>
        </is>
      </c>
      <c r="B96" s="54" t="inlineStr">
        <is>
          <t>Workers in economic establishments</t>
        </is>
      </c>
      <c r="C96" s="54" t="inlineStr">
        <is>
          <t>Over 30.37 million</t>
        </is>
      </c>
      <c r="D96" s="54" t="inlineStr">
        <is>
          <t>2026 census</t>
        </is>
      </c>
      <c r="E96" s="54" t="inlineStr">
        <is>
          <t>National Statistics Office</t>
        </is>
      </c>
    </row>
    <row r="97">
      <c r="A97" s="52" t="inlineStr">
        <is>
          <t>Business</t>
        </is>
      </c>
      <c r="B97" s="52" t="inlineStr">
        <is>
          <t>Enterprise employment</t>
        </is>
      </c>
      <c r="C97" s="52" t="inlineStr">
        <is>
          <t>17.6 million, about 57.6% of workers in economic establishments, not of the 52.6 million national employed</t>
        </is>
      </c>
      <c r="D97" s="52" t="inlineStr">
        <is>
          <t>2026 census</t>
        </is>
      </c>
      <c r="E97" s="52" t="inlineStr">
        <is>
          <t>National Statistics Office</t>
        </is>
      </c>
    </row>
    <row r="98">
      <c r="A98" s="54" t="inlineStr">
        <is>
          <t>Business</t>
        </is>
      </c>
      <c r="B98" s="54" t="inlineStr">
        <is>
          <t>Micro enterprise credit access</t>
        </is>
      </c>
      <c r="C98" s="54" t="inlineStr">
        <is>
          <t>8.8%</t>
        </is>
      </c>
      <c r="D98" s="54" t="inlineStr">
        <is>
          <t>To July 2026</t>
        </is>
      </c>
      <c r="E98" s="54" t="inlineStr">
        <is>
          <t>FiinGroup</t>
        </is>
      </c>
    </row>
    <row r="99">
      <c r="A99" s="52" t="inlineStr">
        <is>
          <t>Business</t>
        </is>
      </c>
      <c r="B99" s="52" t="inlineStr">
        <is>
          <t>Small and medium enterprise credit access</t>
        </is>
      </c>
      <c r="C99" s="52" t="inlineStr">
        <is>
          <t>30.9%</t>
        </is>
      </c>
      <c r="D99" s="52" t="inlineStr">
        <is>
          <t>To July 2026</t>
        </is>
      </c>
      <c r="E99" s="52" t="inlineStr">
        <is>
          <t>FiinGroup</t>
        </is>
      </c>
    </row>
    <row r="100">
      <c r="A100" s="54" t="inlineStr">
        <is>
          <t>Business</t>
        </is>
      </c>
      <c r="B100" s="54" t="inlineStr">
        <is>
          <t>All SMEs credit access</t>
        </is>
      </c>
      <c r="C100" s="54" t="inlineStr">
        <is>
          <t>20.5%</t>
        </is>
      </c>
      <c r="D100" s="54" t="inlineStr">
        <is>
          <t>To July 2026</t>
        </is>
      </c>
      <c r="E100" s="54" t="inlineStr">
        <is>
          <t>FiinGroup</t>
        </is>
      </c>
    </row>
    <row r="101">
      <c r="A101" s="52" t="inlineStr">
        <is>
          <t>Business</t>
        </is>
      </c>
      <c r="B101" s="52" t="inlineStr">
        <is>
          <t>Large enterprise credit access</t>
        </is>
      </c>
      <c r="C101" s="52" t="inlineStr">
        <is>
          <t>61.4%</t>
        </is>
      </c>
      <c r="D101" s="52" t="inlineStr">
        <is>
          <t>To July 2026</t>
        </is>
      </c>
      <c r="E101" s="52" t="inlineStr">
        <is>
          <t>FiinGroup</t>
        </is>
      </c>
    </row>
    <row r="102">
      <c r="A102" s="54" t="inlineStr">
        <is>
          <t>Business</t>
        </is>
      </c>
      <c r="B102" s="54" t="inlineStr">
        <is>
          <t>Preferential credit programme</t>
        </is>
      </c>
      <c r="C102" s="54" t="inlineStr">
        <is>
          <t>VND 408 trillion across 12 banks, for SMEs and other growth drivers, not SME-only</t>
        </is>
      </c>
      <c r="D102" s="54" t="inlineStr">
        <is>
          <t>24 August 2026</t>
        </is>
      </c>
      <c r="E102" s="54" t="inlineStr">
        <is>
          <t>Thoi bao Ngan hang, SBV directive 7 August 2026</t>
        </is>
      </c>
    </row>
    <row r="103">
      <c r="A103" s="52" t="inlineStr">
        <is>
          <t>Business</t>
        </is>
      </c>
      <c r="B103" s="52" t="inlineStr">
        <is>
          <t>Big four share of SME commitment</t>
        </is>
      </c>
      <c r="C103" s="52" t="inlineStr">
        <is>
          <t>VND 220 trillion</t>
        </is>
      </c>
      <c r="D103" s="52" t="inlineStr">
        <is>
          <t>August 2026</t>
        </is>
      </c>
      <c r="E103" s="52" t="inlineStr">
        <is>
          <t>Press reporting</t>
        </is>
      </c>
    </row>
    <row r="104">
      <c r="A104" s="54" t="inlineStr">
        <is>
          <t>Business</t>
        </is>
      </c>
      <c r="B104" s="54" t="inlineStr">
        <is>
          <t>Tax exemption threshold</t>
        </is>
      </c>
      <c r="C104" s="54" t="inlineStr">
        <is>
          <t>VND 500 million revenue</t>
        </is>
      </c>
      <c r="D104" s="54" t="inlineStr">
        <is>
          <t>From 2026</t>
        </is>
      </c>
      <c r="E104" s="54" t="inlineStr">
        <is>
          <t>Revised Personal Income Tax Law</t>
        </is>
      </c>
    </row>
    <row r="105">
      <c r="A105" s="52" t="inlineStr">
        <is>
          <t>Business</t>
        </is>
      </c>
      <c r="B105" s="52" t="inlineStr">
        <is>
          <t>E-invoice threshold</t>
        </is>
      </c>
      <c r="C105" s="52" t="inlineStr">
        <is>
          <t>VND 1 billion revenue</t>
        </is>
      </c>
      <c r="D105" s="52" t="inlineStr">
        <is>
          <t>From 2026</t>
        </is>
      </c>
      <c r="E105" s="52" t="inlineStr">
        <is>
          <t>Decree 68/2026/ND-CP</t>
        </is>
      </c>
    </row>
    <row r="106">
      <c r="A106" s="54" t="inlineStr">
        <is>
          <t>Business</t>
        </is>
      </c>
      <c r="B106" s="54" t="inlineStr">
        <is>
          <t>Net income method threshold</t>
        </is>
      </c>
      <c r="C106" s="54" t="inlineStr">
        <is>
          <t>VND 3 billion revenue</t>
        </is>
      </c>
      <c r="D106" s="54" t="inlineStr">
        <is>
          <t>From 2026</t>
        </is>
      </c>
      <c r="E106" s="54" t="inlineStr">
        <is>
          <t>Decree 68/2026/ND-CP</t>
        </is>
      </c>
    </row>
    <row r="107">
      <c r="A107" s="68" t="inlineStr">
        <is>
          <t>Markets</t>
        </is>
      </c>
      <c r="B107" s="68" t="inlineStr">
        <is>
          <t>Domestic individual securities accounts</t>
        </is>
      </c>
      <c r="C107" s="68" t="inlineStr">
        <is>
          <t>13.8 million, about 14% of the population</t>
        </is>
      </c>
      <c r="D107" s="68" t="inlineStr">
        <is>
          <t>End-August 2026</t>
        </is>
      </c>
      <c r="E107" s="68" t="inlineStr">
        <is>
          <t>VSDC</t>
        </is>
      </c>
    </row>
    <row r="108">
      <c r="A108" s="54" t="inlineStr">
        <is>
          <t>Markets</t>
        </is>
      </c>
      <c r="B108" s="54" t="inlineStr">
        <is>
          <t>Foreign securities accounts</t>
        </is>
      </c>
      <c r="C108" s="54" t="inlineStr">
        <is>
          <t>52,633</t>
        </is>
      </c>
      <c r="D108" s="54" t="inlineStr">
        <is>
          <t>End-August 2026</t>
        </is>
      </c>
      <c r="E108" s="54" t="inlineStr">
        <is>
          <t>VSDC</t>
        </is>
      </c>
    </row>
    <row r="109">
      <c r="A109" s="52" t="inlineStr">
        <is>
          <t>Markets</t>
        </is>
      </c>
      <c r="B109" s="52" t="inlineStr">
        <is>
          <t>New accounts in 2026</t>
        </is>
      </c>
      <c r="C109" s="52" t="inlineStr">
        <is>
          <t>Over 2 million, about 230,000 in August</t>
        </is>
      </c>
      <c r="D109" s="52" t="inlineStr">
        <is>
          <t>To end-August 2026</t>
        </is>
      </c>
      <c r="E109" s="52" t="inlineStr">
        <is>
          <t>VSDC</t>
        </is>
      </c>
    </row>
    <row r="110">
      <c r="A110" s="54" t="inlineStr">
        <is>
          <t>Markets</t>
        </is>
      </c>
      <c r="B110" s="54" t="inlineStr">
        <is>
          <t>Retail share of account growth</t>
        </is>
      </c>
      <c r="C110" s="54" t="inlineStr">
        <is>
          <t>Over 99%</t>
        </is>
      </c>
      <c r="D110" s="54" t="inlineStr">
        <is>
          <t>2026</t>
        </is>
      </c>
      <c r="E110" s="54" t="inlineStr">
        <is>
          <t>VSDC</t>
        </is>
      </c>
    </row>
    <row r="111">
      <c r="A111" s="52" t="inlineStr">
        <is>
          <t>Markets</t>
        </is>
      </c>
      <c r="B111" s="52" t="inlineStr">
        <is>
          <t>Margin lending outstanding</t>
        </is>
      </c>
      <c r="C111" s="52" t="inlineStr">
        <is>
          <t>Over VND 420 trillion</t>
        </is>
      </c>
      <c r="D111" s="52" t="inlineStr">
        <is>
          <t>Q1 2026</t>
        </is>
      </c>
      <c r="E111" s="52" t="inlineStr">
        <is>
          <t>Securities company filings</t>
        </is>
      </c>
    </row>
    <row r="112">
      <c r="A112" s="54" t="inlineStr">
        <is>
          <t>Markets</t>
        </is>
      </c>
      <c r="B112" s="54" t="inlineStr">
        <is>
          <t>Industry margin to equity</t>
        </is>
      </c>
      <c r="C112" s="54" t="inlineStr">
        <is>
          <t>About 83%, ceiling 200%</t>
        </is>
      </c>
      <c r="D112" s="54" t="inlineStr">
        <is>
          <t>Q1 2026</t>
        </is>
      </c>
      <c r="E112" s="54" t="inlineStr">
        <is>
          <t>Securities company filings</t>
        </is>
      </c>
    </row>
    <row r="113">
      <c r="A113" s="52" t="inlineStr">
        <is>
          <t>Markets</t>
        </is>
      </c>
      <c r="B113" s="52" t="inlineStr">
        <is>
          <t>Brokerage share, VPS</t>
        </is>
      </c>
      <c r="C113" s="52" t="inlineStr">
        <is>
          <t>12.61%</t>
        </is>
      </c>
      <c r="D113" s="52" t="inlineStr">
        <is>
          <t>Q2 2026 HOSE</t>
        </is>
      </c>
      <c r="E113" s="52" t="inlineStr">
        <is>
          <t>HOSE</t>
        </is>
      </c>
    </row>
    <row r="114">
      <c r="A114" s="54" t="inlineStr">
        <is>
          <t>Markets</t>
        </is>
      </c>
      <c r="B114" s="54" t="inlineStr">
        <is>
          <t>Brokerage share, SSI</t>
        </is>
      </c>
      <c r="C114" s="54" t="inlineStr">
        <is>
          <t>11.17%</t>
        </is>
      </c>
      <c r="D114" s="54" t="inlineStr">
        <is>
          <t>Q2 2026 HOSE</t>
        </is>
      </c>
      <c r="E114" s="54" t="inlineStr">
        <is>
          <t>HOSE</t>
        </is>
      </c>
    </row>
    <row r="115">
      <c r="A115" s="52" t="inlineStr">
        <is>
          <t>Markets</t>
        </is>
      </c>
      <c r="B115" s="52" t="inlineStr">
        <is>
          <t>Brokerage share, TCBS</t>
        </is>
      </c>
      <c r="C115" s="52" t="inlineStr">
        <is>
          <t>9.36%</t>
        </is>
      </c>
      <c r="D115" s="52" t="inlineStr">
        <is>
          <t>Q2 2026 HOSE</t>
        </is>
      </c>
      <c r="E115" s="52" t="inlineStr">
        <is>
          <t>HOSE</t>
        </is>
      </c>
    </row>
    <row r="116">
      <c r="A116" s="54" t="inlineStr">
        <is>
          <t>Markets</t>
        </is>
      </c>
      <c r="B116" s="54" t="inlineStr">
        <is>
          <t>Brokerage share, VPS on HNX</t>
        </is>
      </c>
      <c r="C116" s="54" t="inlineStr">
        <is>
          <t>17.71%</t>
        </is>
      </c>
      <c r="D116" s="54" t="inlineStr">
        <is>
          <t>Q2 2026 HNX</t>
        </is>
      </c>
      <c r="E116" s="54" t="inlineStr">
        <is>
          <t>HNX</t>
        </is>
      </c>
    </row>
    <row r="117">
      <c r="A117" s="52" t="inlineStr">
        <is>
          <t>Markets</t>
        </is>
      </c>
      <c r="B117" s="52" t="inlineStr">
        <is>
          <t>Brokerage share, TCBS on HNX</t>
        </is>
      </c>
      <c r="C117" s="52" t="inlineStr">
        <is>
          <t>9.00%</t>
        </is>
      </c>
      <c r="D117" s="52" t="inlineStr">
        <is>
          <t>Q2 2026 HNX</t>
        </is>
      </c>
      <c r="E117" s="52" t="inlineStr">
        <is>
          <t>HNX</t>
        </is>
      </c>
    </row>
    <row r="118">
      <c r="A118" s="54" t="inlineStr">
        <is>
          <t>Markets</t>
        </is>
      </c>
      <c r="B118" s="54" t="inlineStr">
        <is>
          <t>Derivatives share, VPS</t>
        </is>
      </c>
      <c r="C118" s="54" t="inlineStr">
        <is>
          <t>33.84%, first place</t>
        </is>
      </c>
      <c r="D118" s="54" t="inlineStr">
        <is>
          <t>Q2 2026</t>
        </is>
      </c>
      <c r="E118" s="54" t="inlineStr">
        <is>
          <t>HNX</t>
        </is>
      </c>
    </row>
    <row r="119">
      <c r="A119" s="52" t="inlineStr">
        <is>
          <t>Markets</t>
        </is>
      </c>
      <c r="B119" s="52" t="inlineStr">
        <is>
          <t>DNSE derivatives share</t>
        </is>
      </c>
      <c r="C119" s="52" t="inlineStr">
        <is>
          <t>25.38%, second behind VPS</t>
        </is>
      </c>
      <c r="D119" s="52" t="inlineStr">
        <is>
          <t>Q2 2026</t>
        </is>
      </c>
      <c r="E119" s="52" t="inlineStr">
        <is>
          <t>DNSE investor relations</t>
        </is>
      </c>
    </row>
    <row r="120">
      <c r="A120" s="54" t="inlineStr">
        <is>
          <t>Markets</t>
        </is>
      </c>
      <c r="B120" s="54" t="inlineStr">
        <is>
          <t>DNSE derivatives share</t>
        </is>
      </c>
      <c r="C120" s="54" t="inlineStr">
        <is>
          <t>25.47%, second place</t>
        </is>
      </c>
      <c r="D120" s="54" t="inlineStr">
        <is>
          <t>H1 2026</t>
        </is>
      </c>
      <c r="E120" s="54" t="inlineStr">
        <is>
          <t>DNSE investor relations</t>
        </is>
      </c>
    </row>
    <row r="121">
      <c r="A121" s="52" t="inlineStr">
        <is>
          <t>Markets</t>
        </is>
      </c>
      <c r="B121" s="52" t="inlineStr">
        <is>
          <t>DNSE listed stock share on HNX</t>
        </is>
      </c>
      <c r="C121" s="52" t="inlineStr">
        <is>
          <t>2.88%, eighth</t>
        </is>
      </c>
      <c r="D121" s="52" t="inlineStr">
        <is>
          <t>Q2 2026</t>
        </is>
      </c>
      <c r="E121" s="52" t="inlineStr">
        <is>
          <t>DNSE investor relations</t>
        </is>
      </c>
    </row>
    <row r="122">
      <c r="A122" s="54" t="inlineStr">
        <is>
          <t>Markets</t>
        </is>
      </c>
      <c r="B122" s="54" t="inlineStr">
        <is>
          <t>DNSE operating revenue</t>
        </is>
      </c>
      <c r="C122" s="54" t="inlineStr">
        <is>
          <t>VND 453.1 billion, +56.0% y/y</t>
        </is>
      </c>
      <c r="D122" s="54" t="inlineStr">
        <is>
          <t>Q2 2026</t>
        </is>
      </c>
      <c r="E122" s="54" t="inlineStr">
        <is>
          <t>DNSE Q2 2026 financial statements</t>
        </is>
      </c>
    </row>
    <row r="123">
      <c r="A123" s="52" t="inlineStr">
        <is>
          <t>Markets</t>
        </is>
      </c>
      <c r="B123" s="52" t="inlineStr">
        <is>
          <t>DNSE operating revenue</t>
        </is>
      </c>
      <c r="C123" s="52" t="inlineStr">
        <is>
          <t>VND 848.2 billion, +58.9% y/y</t>
        </is>
      </c>
      <c r="D123" s="52" t="inlineStr">
        <is>
          <t>H1 2026</t>
        </is>
      </c>
      <c r="E123" s="52" t="inlineStr">
        <is>
          <t>DNSE Q2 2026 financial statements</t>
        </is>
      </c>
    </row>
    <row r="124">
      <c r="A124" s="54" t="inlineStr">
        <is>
          <t>Markets</t>
        </is>
      </c>
      <c r="B124" s="54" t="inlineStr">
        <is>
          <t>DNSE pre-tax profit</t>
        </is>
      </c>
      <c r="C124" s="54" t="inlineStr">
        <is>
          <t>VND 98.9 billion, +8.7% y/y</t>
        </is>
      </c>
      <c r="D124" s="54" t="inlineStr">
        <is>
          <t>Q2 2026</t>
        </is>
      </c>
      <c r="E124" s="54" t="inlineStr">
        <is>
          <t>DNSE investor relations</t>
        </is>
      </c>
    </row>
    <row r="125">
      <c r="A125" s="52" t="inlineStr">
        <is>
          <t>Markets</t>
        </is>
      </c>
      <c r="B125" s="52" t="inlineStr">
        <is>
          <t>TCBS assets under management</t>
        </is>
      </c>
      <c r="C125" s="52" t="inlineStr">
        <is>
          <t>VND 645 trillion</t>
        </is>
      </c>
      <c r="D125" s="52" t="inlineStr">
        <is>
          <t>FY2025</t>
        </is>
      </c>
      <c r="E125" s="52" t="inlineStr">
        <is>
          <t>Techcombank investor presentation</t>
        </is>
      </c>
    </row>
    <row r="126">
      <c r="A126" s="54" t="inlineStr">
        <is>
          <t>Markets</t>
        </is>
      </c>
      <c r="B126" s="54" t="inlineStr">
        <is>
          <t>FTSE Russell reclassification</t>
        </is>
      </c>
      <c r="C126" s="54" t="inlineStr">
        <is>
          <t>Frontier to Secondary Emerging, effective at the open on 21 September 2026</t>
        </is>
      </c>
      <c r="D126" s="54" t="inlineStr">
        <is>
          <t>2026</t>
        </is>
      </c>
      <c r="E126" s="54" t="inlineStr">
        <is>
          <t>LSEG, FTSE Russell</t>
        </is>
      </c>
    </row>
    <row r="127">
      <c r="A127" s="52" t="inlineStr">
        <is>
          <t>Markets</t>
        </is>
      </c>
      <c r="B127" s="52" t="inlineStr">
        <is>
          <t>Vietnamese stocks eligible for FTSE inclusion</t>
        </is>
      </c>
      <c r="C127" s="52" t="inlineStr">
        <is>
          <t>32 on the April 2026 indicative list (27 on the November 2025 list). Final list due 21 August 2026, not checked</t>
        </is>
      </c>
      <c r="D127" s="52" t="inlineStr">
        <is>
          <t>2026</t>
        </is>
      </c>
      <c r="E127" s="52" t="inlineStr">
        <is>
          <t>LSEG, FTSE Russell; The Investor, 8 April 2026</t>
        </is>
      </c>
    </row>
    <row r="128">
      <c r="A128" s="54" t="inlineStr">
        <is>
          <t>Markets</t>
        </is>
      </c>
      <c r="B128" s="54" t="inlineStr">
        <is>
          <t>FTSE-benchmarked assets</t>
        </is>
      </c>
      <c r="C128" s="54" t="inlineStr">
        <is>
          <t>About USD 18.1 trillion</t>
        </is>
      </c>
      <c r="D128" s="54" t="inlineStr">
        <is>
          <t>2026</t>
        </is>
      </c>
      <c r="E128" s="54" t="inlineStr">
        <is>
          <t>FTSE Russell</t>
        </is>
      </c>
    </row>
    <row r="129">
      <c r="A129" s="68" t="inlineStr">
        <is>
          <t>Insurance</t>
        </is>
      </c>
      <c r="B129" s="68" t="inlineStr">
        <is>
          <t>Life new business premiums</t>
        </is>
      </c>
      <c r="C129" s="68" t="inlineStr">
        <is>
          <t>VND 23 trillion</t>
        </is>
      </c>
      <c r="D129" s="68" t="inlineStr">
        <is>
          <t>2017</t>
        </is>
      </c>
      <c r="E129" s="68" t="inlineStr">
        <is>
          <t>Milliman</t>
        </is>
      </c>
    </row>
    <row r="130">
      <c r="A130" s="54" t="inlineStr">
        <is>
          <t>Insurance</t>
        </is>
      </c>
      <c r="B130" s="54" t="inlineStr">
        <is>
          <t>Life new business premiums</t>
        </is>
      </c>
      <c r="C130" s="54" t="inlineStr">
        <is>
          <t>VND 50 trillion</t>
        </is>
      </c>
      <c r="D130" s="54" t="inlineStr">
        <is>
          <t>2022</t>
        </is>
      </c>
      <c r="E130" s="54" t="inlineStr">
        <is>
          <t>Milliman</t>
        </is>
      </c>
    </row>
    <row r="131">
      <c r="A131" s="52" t="inlineStr">
        <is>
          <t>Insurance</t>
        </is>
      </c>
      <c r="B131" s="52" t="inlineStr">
        <is>
          <t>Life new business premiums</t>
        </is>
      </c>
      <c r="C131" s="52" t="inlineStr">
        <is>
          <t>VND 34 trillion</t>
        </is>
      </c>
      <c r="D131" s="52" t="inlineStr">
        <is>
          <t>2023</t>
        </is>
      </c>
      <c r="E131" s="52" t="inlineStr">
        <is>
          <t>Milliman</t>
        </is>
      </c>
    </row>
    <row r="132">
      <c r="A132" s="54" t="inlineStr">
        <is>
          <t>Insurance</t>
        </is>
      </c>
      <c r="B132" s="54" t="inlineStr">
        <is>
          <t>Life new business premiums</t>
        </is>
      </c>
      <c r="C132" s="54" t="inlineStr">
        <is>
          <t>VND 25 trillion</t>
        </is>
      </c>
      <c r="D132" s="54" t="inlineStr">
        <is>
          <t>2024</t>
        </is>
      </c>
      <c r="E132" s="54" t="inlineStr">
        <is>
          <t>Milliman</t>
        </is>
      </c>
    </row>
    <row r="133">
      <c r="A133" s="52" t="inlineStr">
        <is>
          <t>Insurance</t>
        </is>
      </c>
      <c r="B133" s="52" t="inlineStr">
        <is>
          <t>Life new business premiums</t>
        </is>
      </c>
      <c r="C133" s="52" t="inlineStr">
        <is>
          <t>VND 24 trillion</t>
        </is>
      </c>
      <c r="D133" s="52" t="inlineStr">
        <is>
          <t>2025</t>
        </is>
      </c>
      <c r="E133" s="52" t="inlineStr">
        <is>
          <t>Milliman</t>
        </is>
      </c>
    </row>
    <row r="134">
      <c r="A134" s="54" t="inlineStr">
        <is>
          <t>Insurance</t>
        </is>
      </c>
      <c r="B134" s="54" t="inlineStr">
        <is>
          <t>Bancassurance growth before the crisis</t>
        </is>
      </c>
      <c r="C134" s="54" t="inlineStr">
        <is>
          <t>53% CAGR</t>
        </is>
      </c>
      <c r="D134" s="54" t="inlineStr">
        <is>
          <t>To 2022</t>
        </is>
      </c>
      <c r="E134" s="54" t="inlineStr">
        <is>
          <t>Milliman</t>
        </is>
      </c>
    </row>
    <row r="135">
      <c r="A135" s="52" t="inlineStr">
        <is>
          <t>Insurance</t>
        </is>
      </c>
      <c r="B135" s="52" t="inlineStr">
        <is>
          <t>Top seven market share</t>
        </is>
      </c>
      <c r="C135" s="52" t="inlineStr">
        <is>
          <t>75%, Bao Viet Life 21%</t>
        </is>
      </c>
      <c r="D135" s="52" t="inlineStr">
        <is>
          <t>2025</t>
        </is>
      </c>
      <c r="E135" s="52" t="inlineStr">
        <is>
          <t>Milliman</t>
        </is>
      </c>
    </row>
    <row r="136">
      <c r="A136" s="54" t="inlineStr">
        <is>
          <t>Insurance</t>
        </is>
      </c>
      <c r="B136" s="54" t="inlineStr">
        <is>
          <t>First-year lapse rates</t>
        </is>
      </c>
      <c r="C136" s="54" t="inlineStr">
        <is>
          <t>Above 70% at some insurers</t>
        </is>
      </c>
      <c r="D136" s="54" t="inlineStr">
        <is>
          <t>Post-crisis</t>
        </is>
      </c>
      <c r="E136" s="54" t="inlineStr">
        <is>
          <t>Milliman</t>
        </is>
      </c>
    </row>
    <row r="137">
      <c r="A137" s="68" t="inlineStr">
        <is>
          <t>Regulation</t>
        </is>
      </c>
      <c r="B137" s="68" t="inlineStr">
        <is>
          <t>Decree 94/2025/ND-CP</t>
        </is>
      </c>
      <c r="C137" s="68" t="inlineStr">
        <is>
          <t>Banking sandbox: P2P lending, open API, credit scoring</t>
        </is>
      </c>
      <c r="D137" s="68" t="inlineStr">
        <is>
          <t>From 1 July 2025</t>
        </is>
      </c>
      <c r="E137" s="68" t="inlineStr">
        <is>
          <t>Government of Vietnam</t>
        </is>
      </c>
    </row>
    <row r="138">
      <c r="A138" s="54" t="inlineStr">
        <is>
          <t>Regulation</t>
        </is>
      </c>
      <c r="B138" s="54" t="inlineStr">
        <is>
          <t>Circular 64/2024/TT-NHNN</t>
        </is>
      </c>
      <c r="C138" s="54" t="inlineStr">
        <is>
          <t>Open API standards, compliance by 1 March 2027</t>
        </is>
      </c>
      <c r="D138" s="54" t="inlineStr">
        <is>
          <t>2024</t>
        </is>
      </c>
      <c r="E138" s="54" t="inlineStr">
        <is>
          <t>State Bank of Vietnam</t>
        </is>
      </c>
    </row>
    <row r="139">
      <c r="A139" s="52" t="inlineStr">
        <is>
          <t>Regulation</t>
        </is>
      </c>
      <c r="B139" s="52" t="inlineStr">
        <is>
          <t>Resolution 202/2025/QH15</t>
        </is>
      </c>
      <c r="C139" s="52" t="inlineStr">
        <is>
          <t>Provinces reduced from 63 to 34, being 28 provinces and 6 centrally-run cities; districts abolished</t>
        </is>
      </c>
      <c r="D139" s="52" t="inlineStr">
        <is>
          <t>Passed 12 June 2025, effective 1 July 2025</t>
        </is>
      </c>
      <c r="E139" s="52" t="inlineStr">
        <is>
          <t>National Assembly</t>
        </is>
      </c>
    </row>
    <row r="140">
      <c r="A140" s="54" t="inlineStr">
        <is>
          <t>Regulation</t>
        </is>
      </c>
      <c r="B140" s="54" t="inlineStr">
        <is>
          <t>Decree 68/2026/ND-CP</t>
        </is>
      </c>
      <c r="C140" s="54" t="inlineStr">
        <is>
          <t>Household business tax administration</t>
        </is>
      </c>
      <c r="D140" s="54" t="inlineStr">
        <is>
          <t>5 March 2026</t>
        </is>
      </c>
      <c r="E140" s="54" t="inlineStr">
        <is>
          <t>Government of Vietnam</t>
        </is>
      </c>
    </row>
    <row r="141">
      <c r="A141" s="52" t="inlineStr">
        <is>
          <t>Regulation</t>
        </is>
      </c>
      <c r="B141" s="52" t="inlineStr">
        <is>
          <t>Lump-sum tax abolished</t>
        </is>
      </c>
      <c r="C141" s="52" t="inlineStr">
        <is>
          <t>Household businesses must self-declare</t>
        </is>
      </c>
      <c r="D141" s="52" t="inlineStr">
        <is>
          <t>From 1 January 2026</t>
        </is>
      </c>
      <c r="E141" s="52" t="inlineStr">
        <is>
          <t>Revised Personal Income Tax Law</t>
        </is>
      </c>
    </row>
    <row r="142">
      <c r="A142" s="54" t="inlineStr">
        <is>
          <t>Regulation</t>
        </is>
      </c>
      <c r="B142" s="54" t="inlineStr">
        <is>
          <t>Resolution 05/2025/NQ-CP</t>
        </is>
      </c>
      <c r="C142" s="54" t="inlineStr">
        <is>
          <t>Five-year crypto pilot, charter capital VND 10,000bn</t>
        </is>
      </c>
      <c r="D142" s="54" t="inlineStr">
        <is>
          <t>9 September 2025</t>
        </is>
      </c>
      <c r="E142" s="54" t="inlineStr">
        <is>
          <t>Government of Vietnam</t>
        </is>
      </c>
    </row>
    <row r="143">
      <c r="A143" s="52" t="inlineStr">
        <is>
          <t>Regulation</t>
        </is>
      </c>
      <c r="B143" s="52" t="inlineStr">
        <is>
          <t>Circular 14/2025</t>
        </is>
      </c>
      <c r="C143" s="52" t="inlineStr">
        <is>
          <t>Basel III capital requirements</t>
        </is>
      </c>
      <c r="D143" s="52" t="inlineStr">
        <is>
          <t>Phasing in</t>
        </is>
      </c>
      <c r="E143" s="52" t="inlineStr">
        <is>
          <t>State Bank of Vietnam</t>
        </is>
      </c>
    </row>
  </sheetData>
  <autoFilter ref="A4:E14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3"/>
  <sheetViews>
    <sheetView showGridLines="0" workbookViewId="0">
      <pane ySplit="4" topLeftCell="A5" activePane="bottomLeft" state="frozen"/>
      <selection pane="bottomLeft" activeCell="A1" sqref="A1"/>
    </sheetView>
  </sheetViews>
  <sheetFormatPr baseColWidth="8" defaultRowHeight="15"/>
  <cols>
    <col width="26" customWidth="1" min="1" max="1"/>
    <col width="30" customWidth="1" min="2" max="2"/>
    <col width="56" customWidth="1" min="3" max="3"/>
    <col width="48" customWidth="1" min="4" max="4"/>
  </cols>
  <sheetData>
    <row r="1">
      <c r="A1" s="1" t="inlineStr">
        <is>
          <t>Where to get the rest of the data</t>
        </is>
      </c>
    </row>
    <row r="2">
      <c r="A2" s="8" t="inlineStr">
        <is>
          <t>Checked in a browser on 20 September 2026. Notes record what was actually found, including where a site turned out to be thinner than expected.</t>
        </is>
      </c>
    </row>
    <row r="4">
      <c r="A4" s="67" t="inlineStr">
        <is>
          <t>Source</t>
        </is>
      </c>
      <c r="B4" s="67" t="inlineStr">
        <is>
          <t>Covers</t>
        </is>
      </c>
      <c r="C4" s="67" t="inlineStr">
        <is>
          <t>Link</t>
        </is>
      </c>
      <c r="D4" s="67" t="inlineStr">
        <is>
          <t>Notes</t>
        </is>
      </c>
    </row>
    <row r="5">
      <c r="A5" s="52" t="inlineStr">
        <is>
          <t>World Bank Microdata Library</t>
        </is>
      </c>
      <c r="B5" s="52" t="inlineStr">
        <is>
          <t>Findex respondent-level file</t>
        </is>
      </c>
      <c r="C5" s="52" t="inlineStr">
        <is>
          <t>microdata.worldbank.org/index.php/catalog/7998</t>
        </is>
      </c>
      <c r="D5" s="52" t="inlineStr">
        <is>
          <t>Verified: 1,000 cases, 199 variables, reference VNM_2024_FINDEX_v02_M. Free after accepting terms, no registration</t>
        </is>
      </c>
    </row>
    <row r="6">
      <c r="A6" s="54" t="inlineStr">
        <is>
          <t>World Bank Open Data API</t>
        </is>
      </c>
      <c r="B6" s="54" t="inlineStr">
        <is>
          <t>Findex aggregates</t>
        </is>
      </c>
      <c r="C6" s="54" t="inlineStr">
        <is>
          <t>api.worldbank.org/v2/sources/28/country/VNM/series/all/data?format=json</t>
        </is>
      </c>
      <c r="D6" s="54" t="inlineStr">
        <is>
          <t>Verified: the source of this workbook. No key needed</t>
        </is>
      </c>
    </row>
    <row r="7">
      <c r="A7" s="52" t="inlineStr">
        <is>
          <t>National Statistics Office</t>
        </is>
      </c>
      <c r="B7" s="52" t="inlineStr">
        <is>
          <t>GDP, CPI, FDI, trade, provincial data, 2026 census</t>
        </is>
      </c>
      <c r="C7" s="52" t="inlineStr">
        <is>
          <t>nso.gov.vn</t>
        </is>
      </c>
      <c r="D7" s="52" t="inlineStr">
        <is>
          <t>English releases available. Provincial series break at 1 July 2025 because of the merger</t>
        </is>
      </c>
    </row>
    <row r="8">
      <c r="A8" s="54" t="inlineStr">
        <is>
          <t>State Bank of Vietnam</t>
        </is>
      </c>
      <c r="B8" s="54" t="inlineStr">
        <is>
          <t>Payment statistics, credit data, circulars</t>
        </is>
      </c>
      <c r="C8" s="54" t="inlineStr">
        <is>
          <t>sbv.gov.vn</t>
        </is>
      </c>
      <c r="D8" s="54" t="inlineStr">
        <is>
          <t>Aggregate only. Good for payments and regulation</t>
        </is>
      </c>
    </row>
    <row r="9">
      <c r="A9" s="52" t="inlineStr">
        <is>
          <t>Vietstock</t>
        </is>
      </c>
      <c r="B9" s="52" t="inlineStr">
        <is>
          <t>Listed company financials</t>
        </is>
      </c>
      <c r="C9" s="52" t="inlineStr">
        <is>
          <t>finance.vietstock.vn/TICKER/tai-chinh.htm</t>
        </is>
      </c>
      <c r="D9" s="52" t="inlineStr">
        <is>
          <t>Verified: swap the ticker to change company. History to 2011. Pre-computes NIM, cost of funds and yield on earning assets. Has a data export menu</t>
        </is>
      </c>
    </row>
    <row r="10">
      <c r="A10" s="54" t="inlineStr">
        <is>
          <t>CafeF</t>
        </is>
      </c>
      <c r="B10" s="54" t="inlineStr">
        <is>
          <t>Listed company financials</t>
        </is>
      </c>
      <c r="C10" s="54" t="inlineStr">
        <is>
          <t>s.cafef.vn</t>
        </is>
      </c>
      <c r="D10" s="54" t="inlineStr">
        <is>
          <t>Alternative structure, useful as a cross-check against Vietstock</t>
        </is>
      </c>
    </row>
    <row r="11">
      <c r="A11" s="52" t="inlineStr">
        <is>
          <t>VPBank investor relations</t>
        </is>
      </c>
      <c r="B11" s="52" t="inlineStr">
        <is>
          <t>VPB filings and investor decks</t>
        </is>
      </c>
      <c r="C11" s="52" t="inlineStr">
        <is>
          <t>vpbank.com.vn/en/quan-he-nha-dau-tu</t>
        </is>
      </c>
      <c r="D11" s="52" t="inlineStr">
        <is>
          <t>Verified: statements 2011 to 2026, VAS and IFRS, consolidated and separate, searchable PDFs. Quarterly Performance Packs carry segment detail</t>
        </is>
      </c>
    </row>
    <row r="12">
      <c r="A12" s="54" t="inlineStr">
        <is>
          <t>DNSE investor relations</t>
        </is>
      </c>
      <c r="B12" s="54" t="inlineStr">
        <is>
          <t>DSE filings and market share</t>
        </is>
      </c>
      <c r="C12" s="54" t="inlineStr">
        <is>
          <t>ir.dnse.com.vn/en</t>
        </is>
      </c>
      <c r="D12" s="54" t="inlineStr">
        <is>
          <t>Verified: English site, Q2 2026 published, annual reports 2024 and 2025, earnings releases with market share</t>
        </is>
      </c>
    </row>
    <row r="13">
      <c r="A13" s="52" t="inlineStr">
        <is>
          <t>Techcombank investor relations</t>
        </is>
      </c>
      <c r="B13" s="52" t="inlineStr">
        <is>
          <t>TCB investor presentation</t>
        </is>
      </c>
      <c r="C13" s="52" t="inlineStr">
        <is>
          <t>techcombank.com</t>
        </is>
      </c>
      <c r="D13" s="52" t="inlineStr">
        <is>
          <t>The most detailed investor deck in Vietnamese banking</t>
        </is>
      </c>
    </row>
    <row r="14">
      <c r="A14" s="54" t="inlineStr">
        <is>
          <t>MB</t>
        </is>
      </c>
      <c r="B14" s="54" t="inlineStr">
        <is>
          <t>MBB filings</t>
        </is>
      </c>
      <c r="C14" s="54" t="inlineStr">
        <is>
          <t>mbbank.com.vn</t>
        </is>
      </c>
      <c r="D14" s="54" t="inlineStr">
        <is>
          <t>English investor pages were partly unavailable when checked. Use Vietstock and HOSE instead</t>
        </is>
      </c>
    </row>
    <row r="15">
      <c r="A15" s="52" t="inlineStr">
        <is>
          <t>HOSE</t>
        </is>
      </c>
      <c r="B15" s="52" t="inlineStr">
        <is>
          <t>Listings, filings, brokerage share</t>
        </is>
      </c>
      <c r="C15" s="52" t="inlineStr">
        <is>
          <t>hsx.vn</t>
        </is>
      </c>
      <c r="D15" s="52" t="inlineStr">
        <is>
          <t>Quarterly brokerage market share tables</t>
        </is>
      </c>
    </row>
    <row r="16">
      <c r="A16" s="54" t="inlineStr">
        <is>
          <t>HNX</t>
        </is>
      </c>
      <c r="B16" s="54" t="inlineStr">
        <is>
          <t>Listings, derivatives market share</t>
        </is>
      </c>
      <c r="C16" s="54" t="inlineStr">
        <is>
          <t>hnx.vn</t>
        </is>
      </c>
      <c r="D16" s="54" t="inlineStr">
        <is>
          <t>Source of the DNSE derivatives share figures</t>
        </is>
      </c>
    </row>
    <row r="17">
      <c r="A17" s="52" t="inlineStr">
        <is>
          <t>VSDC</t>
        </is>
      </c>
      <c r="B17" s="52" t="inlineStr">
        <is>
          <t>Securities account statistics</t>
        </is>
      </c>
      <c r="C17" s="52" t="inlineStr">
        <is>
          <t>vsdc.vn</t>
        </is>
      </c>
      <c r="D17" s="52" t="inlineStr">
        <is>
          <t>Monthly account openings split by investor type</t>
        </is>
      </c>
    </row>
    <row r="18">
      <c r="A18" s="54" t="inlineStr">
        <is>
          <t>NAPAS</t>
        </is>
      </c>
      <c r="B18" s="54" t="inlineStr">
        <is>
          <t>Interbank switching, VietQR</t>
        </is>
      </c>
      <c r="C18" s="54" t="inlineStr">
        <is>
          <t>napas.com.vn</t>
        </is>
      </c>
      <c r="D18" s="54" t="inlineStr">
        <is>
          <t>Aggregate payment statistics</t>
        </is>
      </c>
    </row>
    <row r="19">
      <c r="A19" s="52" t="inlineStr">
        <is>
          <t>FiinRatings and FiinGroup</t>
        </is>
      </c>
      <c r="B19" s="52" t="inlineStr">
        <is>
          <t>Banking and consumer finance research</t>
        </is>
      </c>
      <c r="C19" s="52" t="inlineStr">
        <is>
          <t>fiinratings.vn, fiingroup.vn</t>
        </is>
      </c>
      <c r="D19" s="52" t="inlineStr">
        <is>
          <t>Some reports free. Source of most banking metrics in this workbook</t>
        </is>
      </c>
    </row>
    <row r="20">
      <c r="A20" s="54" t="inlineStr">
        <is>
          <t>VinaCapital</t>
        </is>
      </c>
      <c r="B20" s="54" t="inlineStr">
        <is>
          <t>Monthly macro commentary</t>
        </is>
      </c>
      <c r="C20" s="54" t="inlineStr">
        <is>
          <t>vof.vinacapital.com</t>
        </is>
      </c>
      <c r="D20" s="54" t="inlineStr">
        <is>
          <t>Free, current, well sourced</t>
        </is>
      </c>
    </row>
    <row r="21">
      <c r="A21" s="52" t="inlineStr">
        <is>
          <t>Milliman</t>
        </is>
      </c>
      <c r="B21" s="52" t="inlineStr">
        <is>
          <t>Life insurance analysis</t>
        </is>
      </c>
      <c r="C21" s="52" t="inlineStr">
        <is>
          <t>milliman.com</t>
        </is>
      </c>
      <c r="D21" s="52" t="inlineStr">
        <is>
          <t>Source of the insurance premium series</t>
        </is>
      </c>
    </row>
    <row r="22">
      <c r="A22" s="54" t="inlineStr">
        <is>
          <t>Google Play scraping</t>
        </is>
      </c>
      <c r="B22" s="54" t="inlineStr">
        <is>
          <t>App reviews</t>
        </is>
      </c>
      <c r="C22" s="54" t="inlineStr">
        <is>
          <t>google-play-scraper on npm or PyPI</t>
        </is>
      </c>
      <c r="D22" s="54" t="inlineStr">
        <is>
          <t>Thousands of dated, rated, versioned reviews per app. Genuinely messy, which suits the data-cleaning criterion</t>
        </is>
      </c>
    </row>
    <row r="23">
      <c r="A23" s="52" t="inlineStr">
        <is>
          <t>App Store scraping</t>
        </is>
      </c>
      <c r="B23" s="52" t="inlineStr">
        <is>
          <t>App reviews</t>
        </is>
      </c>
      <c r="C23" s="52" t="inlineStr">
        <is>
          <t>app-store-scraper</t>
        </is>
      </c>
      <c r="D23" s="52" t="inlineStr">
        <is>
          <t>Same approach for iOS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2026-09-23T17:33:50Z</dcterms:created>
  <dcterms:modified xsi:type="dcterms:W3CDTF">2026-09-23T17:33:50Z</dcterms:modified>
</cp:coreProperties>
</file>